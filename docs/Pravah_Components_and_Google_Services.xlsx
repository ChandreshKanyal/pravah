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omponents" sheetId="2" state="visible" r:id="rId4"/>
    <sheet name="Google services" sheetId="3" state="visible" r:id="rId5"/>
    <sheet name="Data sources" sheetId="4" state="visible" r:id="rId6"/>
    <sheet name="Compliance" sheetId="5" state="visible" r:id="rId7"/>
    <sheet name="Day plan" sheetId="6" state="visible" r:id="rId8"/>
    <sheet name="Progress" sheetId="7" state="visible" r:id="rId9"/>
  </sheets>
  <definedNames>
    <definedName function="false" hidden="true" localSheetId="4" name="_xlnm._FilterDatabase" vbProcedure="false">Compliance!$A$1:$E$16</definedName>
    <definedName function="false" hidden="true" localSheetId="1" name="_xlnm._FilterDatabase" vbProcedure="false">Components!$A$1:$P$86</definedName>
    <definedName function="false" hidden="true" localSheetId="3" name="_xlnm._FilterDatabase" vbProcedure="false">'Data sources'!$A$1:$H$17</definedName>
    <definedName function="false" hidden="true" localSheetId="5" name="_xlnm._FilterDatabase" vbProcedure="false">'Day plan'!$A$1:$F$6</definedName>
    <definedName function="false" hidden="true" localSheetId="2" name="_xlnm._FilterDatabase" vbProcedure="false">'Google services'!$A$1:$F$18</definedName>
    <definedName function="false" hidden="true" localSheetId="6" name="_xlnm._FilterDatabase" vbProcedure="false">Progress!$A$1:$F$22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<sst xmlns="http://schemas.openxmlformats.org/spreadsheetml/2006/main" count="1764" uniqueCount="919">
  <si>
    <t xml:space="preserve">Pravah: component and Google service map</t>
  </si>
  <si>
    <t xml:space="preserve">Companion to docs/SPEC.md (build specification v1.0, 14 Oct 2026). Stage IDs (S0–S19) match the spec.</t>
  </si>
  <si>
    <t xml:space="preserve">How to use</t>
  </si>
  <si>
    <t xml:space="preserve">1. Components: one row per stage / component / logic piece, with the Google service it uses. Build top to bottom.</t>
  </si>
  <si>
    <t xml:space="preserve">2. Only edit the yellow 'Status' column (dropdown: Not started, In progress, Done, Blocked). Progress updates automatically.</t>
  </si>
  <si>
    <t xml:space="preserve">3. Google services: every Google service the platform uses and what it is for.</t>
  </si>
  <si>
    <t xml:space="preserve">4. Data sources: every dataset with its access ID, licence and whether its ID was verified on 14 Oct 2026.</t>
  </si>
  <si>
    <t xml:space="preserve">5. Compliance: challenge rules and Google Maps Platform terms, and how the design complies.</t>
  </si>
  <si>
    <t xml:space="preserve">6. Day plan and Progress: schedule and live completion by stage.</t>
  </si>
  <si>
    <t xml:space="preserve">Rules this sheet enforces</t>
  </si>
  <si>
    <t xml:space="preserve">• AI = Gemini only (Vertex AI, ADK). Hosting = Cloud Run + Firebase Hosting. Data/compute/storage = Google Cloud.</t>
  </si>
  <si>
    <t xml:space="preserve">• Non-Google items are open-source libraries or open data (mainly OpenStreetMap). Each is flagged in the 'Non-Google element' column with its reason.</t>
  </si>
  <si>
    <t xml:space="preserve">• Google Maps Platform is used for display, forecasts and geocoding only. Its content is never used as analysis input (Maps terms §3.2.3).</t>
  </si>
  <si>
    <t xml:space="preserve">Example row (Components)</t>
  </si>
  <si>
    <t xml:space="preserve">C27 | S3 | Rational method runoff | Q = 0.278·C·i·A | C (Dynamic World), rain mm/h, A_local km² | Q per reach per hour | Cloud Run (compute) | engine code; inputs from Earth Engine | — | — | Compliant | N/A | P0 | Thu 15 | C26, C21 | Not started</t>
  </si>
  <si>
    <t xml:space="preserve">ID</t>
  </si>
  <si>
    <t xml:space="preserve">Stage</t>
  </si>
  <si>
    <t xml:space="preserve">Component</t>
  </si>
  <si>
    <t xml:space="preserve">Logic / method</t>
  </si>
  <si>
    <t xml:space="preserve">Inputs</t>
  </si>
  <si>
    <t xml:space="preserve">Outputs</t>
  </si>
  <si>
    <t xml:space="preserve">Google service(s)</t>
  </si>
  <si>
    <t xml:space="preserve">Specific API / dataset / product</t>
  </si>
  <si>
    <t xml:space="preserve">Non-Google element</t>
  </si>
  <si>
    <t xml:space="preserve">Why allowed</t>
  </si>
  <si>
    <t xml:space="preserve">Challenge-rule check</t>
  </si>
  <si>
    <t xml:space="preserve">Maps ToS check</t>
  </si>
  <si>
    <t xml:space="preserve">Priority</t>
  </si>
  <si>
    <t xml:space="preserve">Build day</t>
  </si>
  <si>
    <t xml:space="preserve">Depends on</t>
  </si>
  <si>
    <t xml:space="preserve">Status</t>
  </si>
  <si>
    <t xml:space="preserve">C01</t>
  </si>
  <si>
    <t xml:space="preserve">S0</t>
  </si>
  <si>
    <t xml:space="preserve">Backend hosting</t>
  </si>
  <si>
    <t xml:space="preserve">FastAPI app in a container; --no-cpu-throttling, 4 GiB, 900 s timeout</t>
  </si>
  <si>
    <t xml:space="preserve">Code</t>
  </si>
  <si>
    <t xml:space="preserve">Public HTTPS API</t>
  </si>
  <si>
    <t xml:space="preserve">Cloud Run; Cloud Build; Artifact Registry</t>
  </si>
  <si>
    <t xml:space="preserve">Cloud Run service pravah-backend (asia-south1)</t>
  </si>
  <si>
    <t xml:space="preserve">FastAPI (open-source)</t>
  </si>
  <si>
    <t xml:space="preserve">Library, not a model or host</t>
  </si>
  <si>
    <t xml:space="preserve">Compliant (required host)</t>
  </si>
  <si>
    <t xml:space="preserve">N/A</t>
  </si>
  <si>
    <t xml:space="preserve">P0</t>
  </si>
  <si>
    <t xml:space="preserve">Wed 14</t>
  </si>
  <si>
    <t xml:space="preserve">—</t>
  </si>
  <si>
    <t xml:space="preserve">Not started</t>
  </si>
  <si>
    <t xml:space="preserve">C02</t>
  </si>
  <si>
    <t xml:space="preserve">Frontend hosting</t>
  </si>
  <si>
    <t xml:space="preserve">Static React build; /api/** rewrite to Cloud Run</t>
  </si>
  <si>
    <t xml:space="preserve">Built frontend</t>
  </si>
  <si>
    <t xml:space="preserve">Public web app</t>
  </si>
  <si>
    <t xml:space="preserve">Firebase Hosting</t>
  </si>
  <si>
    <t xml:space="preserve">firebase.json rewrite → run.serviceId</t>
  </si>
  <si>
    <t xml:space="preserve">React, Vite (open-source)</t>
  </si>
  <si>
    <t xml:space="preserve">Libraries</t>
  </si>
  <si>
    <t xml:space="preserve">C03</t>
  </si>
  <si>
    <t xml:space="preserve">Keys and secrets</t>
  </si>
  <si>
    <t xml:space="preserve">Browser key (referrer-restricted), server key (API-restricted) in Secret Manager</t>
  </si>
  <si>
    <t xml:space="preserve">Restricted keys</t>
  </si>
  <si>
    <t xml:space="preserve">Secret Manager; API Keys; IAM</t>
  </si>
  <si>
    <t xml:space="preserve">maps-server-key secret; service account pravah-backend</t>
  </si>
  <si>
    <t xml:space="preserve">Compliant</t>
  </si>
  <si>
    <t xml:space="preserve">Keys restricted per Maps best practice</t>
  </si>
  <si>
    <t xml:space="preserve">C04</t>
  </si>
  <si>
    <t xml:space="preserve">Budget guardrail</t>
  </si>
  <si>
    <t xml:space="preserve">Budget $100 with 25/50/75/100% alerts</t>
  </si>
  <si>
    <t xml:space="preserve">Email alerts</t>
  </si>
  <si>
    <t xml:space="preserve">Cloud Billing</t>
  </si>
  <si>
    <t xml:space="preserve">Budgets &amp; alerts</t>
  </si>
  <si>
    <t xml:space="preserve">C05</t>
  </si>
  <si>
    <t xml:space="preserve">Model selection</t>
  </si>
  <si>
    <t xml:space="preserve">List available models, human picks Fast and Pro</t>
  </si>
  <si>
    <t xml:space="preserve">GEMINI_MODEL_FAST / _PRO env vars</t>
  </si>
  <si>
    <t xml:space="preserve">Vertex AI</t>
  </si>
  <si>
    <t xml:space="preserve">google-genai client.models.list()</t>
  </si>
  <si>
    <t xml:space="preserve">Compliant (Gemini)</t>
  </si>
  <si>
    <t xml:space="preserve">C06</t>
  </si>
  <si>
    <t xml:space="preserve">S1</t>
  </si>
  <si>
    <t xml:space="preserve">AOI capture and validation</t>
  </si>
  <si>
    <t xml:space="preserve">sha1 id, size limits (river ≤15 km, urban ≤4 km)</t>
  </si>
  <si>
    <t xml:space="preserve">Drawn bbox</t>
  </si>
  <si>
    <t xml:space="preserve">AOI doc</t>
  </si>
  <si>
    <t xml:space="preserve">Firestore; Cloud Run</t>
  </si>
  <si>
    <t xml:space="preserve">aois/{aoi_id}</t>
  </si>
  <si>
    <t xml:space="preserve">C07</t>
  </si>
  <si>
    <t xml:space="preserve">Analysis grid (UTM, 30 m)</t>
  </si>
  <si>
    <t xml:space="preserve">GridSpec, transforms, 4-corner overlay bounds</t>
  </si>
  <si>
    <t xml:space="preserve">AOI bbox</t>
  </si>
  <si>
    <t xml:space="preserve">GridSpec</t>
  </si>
  <si>
    <t xml:space="preserve">Cloud Run (compute)</t>
  </si>
  <si>
    <t xml:space="preserve">engines/grid.py</t>
  </si>
  <si>
    <t xml:space="preserve">pyproj (open-source)</t>
  </si>
  <si>
    <t xml:space="preserve">Library</t>
  </si>
  <si>
    <t xml:space="preserve">C08</t>
  </si>
  <si>
    <t xml:space="preserve">Terrain: DEM, slope, aspect, curvature</t>
  </si>
  <si>
    <t xml:space="preserve">computePixels to the grid; NumPy derivatives</t>
  </si>
  <si>
    <t xml:space="preserve">AOI grid</t>
  </si>
  <si>
    <t xml:space="preserve">dem, slope_deg, aspect_deg, curv</t>
  </si>
  <si>
    <t xml:space="preserve">Earth Engine (noncommercial)</t>
  </si>
  <si>
    <t xml:space="preserve">Copernicus DEM GLO-30 (COPERNICUS/DEM/GLO30 deprecated → successor GLO30_2024_1, VERIFY)</t>
  </si>
  <si>
    <t xml:space="preserve">NumPy</t>
  </si>
  <si>
    <t xml:space="preserve">Not Maps content (Elevation API deliberately NOT used, §3.2.3(c)(iii))</t>
  </si>
  <si>
    <t xml:space="preserve">C09</t>
  </si>
  <si>
    <t xml:space="preserve">Hydrology layers: HAND, D8, upstream area</t>
  </si>
  <si>
    <t xml:space="preserve">computePixels; bilinear for hnd/elv, nearest for dir/upa</t>
  </si>
  <si>
    <t xml:space="preserve">hand, d8, upa, elv_hydro</t>
  </si>
  <si>
    <t xml:space="preserve">MERIT/Hydro/v1_0_1 (hnd, dir, upa, elv)</t>
  </si>
  <si>
    <t xml:space="preserve">C10</t>
  </si>
  <si>
    <t xml:space="preserve">Land cover</t>
  </si>
  <si>
    <t xml:space="preserve">Mode of last 12 months of labels</t>
  </si>
  <si>
    <t xml:space="preserve">AOI</t>
  </si>
  <si>
    <t xml:space="preserve">lc_class (0–8)</t>
  </si>
  <si>
    <t xml:space="preserve">GOOGLE/DYNAMICWORLD/V1 label</t>
  </si>
  <si>
    <t xml:space="preserve">C11</t>
  </si>
  <si>
    <t xml:space="preserve">Vegetation (NDVI)</t>
  </si>
  <si>
    <t xml:space="preserve">Dry-season median, cloud &lt; 20%</t>
  </si>
  <si>
    <t xml:space="preserve">ndvi</t>
  </si>
  <si>
    <t xml:space="preserve">COPERNICUS/S2_SR_HARMONIZED B8/B4</t>
  </si>
  <si>
    <t xml:space="preserve">P1</t>
  </si>
  <si>
    <t xml:space="preserve">C12</t>
  </si>
  <si>
    <t xml:space="preserve">Soil clay</t>
  </si>
  <si>
    <t xml:space="preserve">Surface clay fraction</t>
  </si>
  <si>
    <t xml:space="preserve">soil_clay</t>
  </si>
  <si>
    <t xml:space="preserve">OpenLandMap clay fraction (VERIFY ID/band)</t>
  </si>
  <si>
    <t xml:space="preserve">C13</t>
  </si>
  <si>
    <t xml:space="preserve">Rainfall climatology</t>
  </si>
  <si>
    <t xml:space="preserve">Mean of annual max daily rain 2001–2024</t>
  </si>
  <si>
    <t xml:space="preserve">rain_clim (mm/d)</t>
  </si>
  <si>
    <t xml:space="preserve">UCSB-CHG/CHIRPS/DAILY precipitation</t>
  </si>
  <si>
    <t xml:space="preserve">C14</t>
  </si>
  <si>
    <t xml:space="preserve">Historical flood grids</t>
  </si>
  <si>
    <t xml:space="preserve">Sum of flood events; surface water occurrence</t>
  </si>
  <si>
    <t xml:space="preserve">gfd_count, gsw_occ</t>
  </si>
  <si>
    <t xml:space="preserve">GLOBAL_FLOOD_DB/MODIS_EVENTS/V1; JRC Global Surface Water (VERIFY version)</t>
  </si>
  <si>
    <t xml:space="preserve">C15</t>
  </si>
  <si>
    <t xml:space="preserve">Population grid</t>
  </si>
  <si>
    <t xml:space="preserve">Density at native res × 900 m²; rescaled to EE total</t>
  </si>
  <si>
    <t xml:space="preserve">pop30</t>
  </si>
  <si>
    <t xml:space="preserve">WorldPop/GP/100m/pop (IND, latest year VERIFY)</t>
  </si>
  <si>
    <t xml:space="preserve">C16</t>
  </si>
  <si>
    <t xml:space="preserve">Building footprints and heights</t>
  </si>
  <si>
    <t xml:space="preserve">filterBounds + reduceRegions for height &amp; presence 2016/2023</t>
  </si>
  <si>
    <t xml:space="preserve">buildings.parquet</t>
  </si>
  <si>
    <t xml:space="preserve">GOOGLE/Research/open-buildings/v3/polygons; GOOGLE/Research/open-buildings-temporal/v1</t>
  </si>
  <si>
    <t xml:space="preserve">GeoPandas</t>
  </si>
  <si>
    <t xml:space="preserve">N/A (not traced from Maps imagery, §3.2.3(c)(i) respected)</t>
  </si>
  <si>
    <t xml:space="preserve">C17</t>
  </si>
  <si>
    <t xml:space="preserve">Roads, POIs, waterways</t>
  </si>
  <si>
    <t xml:space="preserve">OSMnx graphs (walk/drive), features_from_bbox</t>
  </si>
  <si>
    <t xml:space="preserve">AOI + 3 km buffer</t>
  </si>
  <si>
    <t xml:space="preserve">GraphML, pois.parquet, waterways.parquet</t>
  </si>
  <si>
    <t xml:space="preserve">Cloud Storage (cache)</t>
  </si>
  <si>
    <t xml:space="preserve">OpenStreetMap data via OSMnx/Overpass</t>
  </si>
  <si>
    <t xml:space="preserve">Open data (ODbL); no Google road graph can legally be used for analysis</t>
  </si>
  <si>
    <t xml:space="preserve">Compliant (open data)</t>
  </si>
  <si>
    <t xml:space="preserve">Avoids Maps Roads/Places extraction (§3.2.3(a),(c)(iv))</t>
  </si>
  <si>
    <t xml:space="preserve">C18</t>
  </si>
  <si>
    <t xml:space="preserve">Layer cache and status</t>
  </si>
  <si>
    <t xml:space="preserve">Idempotent prepare_area; .npz per group</t>
  </si>
  <si>
    <t xml:space="preserve">Layers</t>
  </si>
  <si>
    <t xml:space="preserve">GCS objects; status doc</t>
  </si>
  <si>
    <t xml:space="preserve">Cloud Storage; Firestore</t>
  </si>
  <si>
    <t xml:space="preserve">gs://pravah-dss-data/aoi/{id}/…</t>
  </si>
  <si>
    <t xml:space="preserve">C08–C17</t>
  </si>
  <si>
    <t xml:space="preserve">C19</t>
  </si>
  <si>
    <t xml:space="preserve">Overlay rendering</t>
  </si>
  <si>
    <t xml:space="preserve">Raster → RGBA PNG; signed URLs; 4-corner bounds</t>
  </si>
  <si>
    <t xml:space="preserve">Grids</t>
  </si>
  <si>
    <t xml:space="preserve">PNG URLs</t>
  </si>
  <si>
    <t xml:space="preserve">Cloud Storage</t>
  </si>
  <si>
    <t xml:space="preserve">V4 signed URLs (24 h)</t>
  </si>
  <si>
    <t xml:space="preserve">Pillow</t>
  </si>
  <si>
    <t xml:space="preserve">Our own data drawn over Maps (allowed)</t>
  </si>
  <si>
    <t xml:space="preserve">C20</t>
  </si>
  <si>
    <t xml:space="preserve">S2</t>
  </si>
  <si>
    <t xml:space="preserve">Native hydro grid and D8 decode</t>
  </si>
  <si>
    <t xml:space="preserve">EPSG:4326 3″ grid; D8 offsets; downstream index</t>
  </si>
  <si>
    <t xml:space="preserve">MERIT dir</t>
  </si>
  <si>
    <t xml:space="preserve">downstream[]</t>
  </si>
  <si>
    <t xml:space="preserve">MERIT/Hydro/v1_0_1 (native grid)</t>
  </si>
  <si>
    <t xml:space="preserve">C21</t>
  </si>
  <si>
    <t xml:space="preserve">Local contributing area</t>
  </si>
  <si>
    <t xml:space="preserve">Kahn topological accumulation inside the grid</t>
  </si>
  <si>
    <t xml:space="preserve">downstream</t>
  </si>
  <si>
    <t xml:space="preserve">A_local_km2</t>
  </si>
  <si>
    <t xml:space="preserve">engines/hydrology.py</t>
  </si>
  <si>
    <t xml:space="preserve">C22</t>
  </si>
  <si>
    <t xml:space="preserve">Streams, reaches, catchments</t>
  </si>
  <si>
    <t xml:space="preserve">upa ≥ 5 km² streams; split at confluences / 2 km; drain_cell tracing</t>
  </si>
  <si>
    <t xml:space="preserve">upa, downstream</t>
  </si>
  <si>
    <t xml:space="preserve">reach table, catch_reach</t>
  </si>
  <si>
    <t xml:space="preserve">Thu 15</t>
  </si>
  <si>
    <t xml:space="preserve">C23</t>
  </si>
  <si>
    <t xml:space="preserve">Synthetic rating curves</t>
  </si>
  <si>
    <t xml:space="preserve">HAND + Manning per reach (Zheng et al. 2018)</t>
  </si>
  <si>
    <t xml:space="preserve">hnd, reaches, n</t>
  </si>
  <si>
    <t xml:space="preserve">Q(h) tables</t>
  </si>
  <si>
    <t xml:space="preserve">C24</t>
  </si>
  <si>
    <t xml:space="preserve">Convergence hotspots</t>
  </si>
  <si>
    <t xml:space="preserve">Confluences + upa surges</t>
  </si>
  <si>
    <t xml:space="preserve">Streams</t>
  </si>
  <si>
    <t xml:space="preserve">Hotspots H1…</t>
  </si>
  <si>
    <t xml:space="preserve">C25</t>
  </si>
  <si>
    <t xml:space="preserve">S3</t>
  </si>
  <si>
    <t xml:space="preserve">M1 stage-only flood map</t>
  </si>
  <si>
    <t xml:space="preserve">depth = max(0, stage − HAND); mask permanent water</t>
  </si>
  <si>
    <t xml:space="preserve">hand, gsw_occ</t>
  </si>
  <si>
    <t xml:space="preserve">depth grid</t>
  </si>
  <si>
    <t xml:space="preserve">engines/flood.py</t>
  </si>
  <si>
    <t xml:space="preserve">C26</t>
  </si>
  <si>
    <t xml:space="preserve">Runoff coefficient</t>
  </si>
  <si>
    <t xml:space="preserve">Dynamic World class → C table (editable)</t>
  </si>
  <si>
    <t xml:space="preserve">lc_class</t>
  </si>
  <si>
    <t xml:space="preserve">C per reach</t>
  </si>
  <si>
    <t xml:space="preserve">engines/rainfall.py</t>
  </si>
  <si>
    <t xml:space="preserve">C27</t>
  </si>
  <si>
    <t xml:space="preserve">Rational method runoff</t>
  </si>
  <si>
    <t xml:space="preserve">Q = 0.278·C·i·A (m³/s)</t>
  </si>
  <si>
    <t xml:space="preserve">C, i (mm/h), A_local (km²)</t>
  </si>
  <si>
    <t xml:space="preserve">Q per reach per hour</t>
  </si>
  <si>
    <t xml:space="preserve">C26, C21</t>
  </si>
  <si>
    <t xml:space="preserve">C28</t>
  </si>
  <si>
    <t xml:space="preserve">Time of concentration</t>
  </si>
  <si>
    <t xml:space="preserve">Kirpich tc; flow length by Hack's law</t>
  </si>
  <si>
    <t xml:space="preserve">A_local, reach slope</t>
  </si>
  <si>
    <t xml:space="preserve">tc per reach</t>
  </si>
  <si>
    <t xml:space="preserve">C29</t>
  </si>
  <si>
    <t xml:space="preserve">Hourly worst-case envelope</t>
  </si>
  <si>
    <t xml:space="preserve">Window-mean intensity, rising ramp, SRC inversion, non-decreasing stage, per-reach depth</t>
  </si>
  <si>
    <t xml:space="preserve">Rain series, SRC</t>
  </si>
  <si>
    <t xml:space="preserve">depth_stack [H], stage per reach, flooded km²</t>
  </si>
  <si>
    <t xml:space="preserve">Cloud Run (compute); Cloud Storage</t>
  </si>
  <si>
    <t xml:space="preserve">engines/flood.py; runs/{id}/depth.npz</t>
  </si>
  <si>
    <t xml:space="preserve">C23, C27, C28</t>
  </si>
  <si>
    <t xml:space="preserve">C30</t>
  </si>
  <si>
    <t xml:space="preserve">S4</t>
  </si>
  <si>
    <t xml:space="preserve">AHP weights module</t>
  </si>
  <si>
    <t xml:space="preserve">Principal eigenvector; CI, CR; reject CR ≥ 0.10</t>
  </si>
  <si>
    <t xml:space="preserve">Pairwise matrix</t>
  </si>
  <si>
    <t xml:space="preserve">Weights, CR</t>
  </si>
  <si>
    <t xml:space="preserve">engines/ahp.py</t>
  </si>
  <si>
    <t xml:space="preserve">C31</t>
  </si>
  <si>
    <t xml:space="preserve">Flood susceptibility index (FSI)</t>
  </si>
  <si>
    <t xml:space="preserve">Weighted sum of 7 normalised factors; 5 classes</t>
  </si>
  <si>
    <t xml:space="preserve">hand, gfd/gsw, dist_stream, upa, rain_clim, slope, C</t>
  </si>
  <si>
    <t xml:space="preserve">fsi + PNG</t>
  </si>
  <si>
    <t xml:space="preserve">engines/fsi.py</t>
  </si>
  <si>
    <t xml:space="preserve">C30, C08–C14</t>
  </si>
  <si>
    <t xml:space="preserve">C32</t>
  </si>
  <si>
    <t xml:space="preserve">S5</t>
  </si>
  <si>
    <t xml:space="preserve">Landslide factor classes</t>
  </si>
  <si>
    <t xml:space="preserve">Binned slope, rain, NDVI, distances, clay, curvature, aspect</t>
  </si>
  <si>
    <t xml:space="preserve">Class rasters</t>
  </si>
  <si>
    <t xml:space="preserve">engines/landslide.py</t>
  </si>
  <si>
    <t xml:space="preserve">C08–C13, C17</t>
  </si>
  <si>
    <t xml:space="preserve">C33</t>
  </si>
  <si>
    <t xml:space="preserve">Frequency Ratio from past landslides</t>
  </si>
  <si>
    <t xml:space="preserve">FR per class in 50 km training box; fallback to expert ratings if &lt; 15 points</t>
  </si>
  <si>
    <t xml:space="preserve">Classes, inventory</t>
  </si>
  <si>
    <t xml:space="preserve">Class ratings</t>
  </si>
  <si>
    <t xml:space="preserve">projects/sat-io/open-datasets/events/global_landslide_1970-2019 (community catalog, VERIFY licence)</t>
  </si>
  <si>
    <t xml:space="preserve">NASA GLC data (community-hosted in EE)</t>
  </si>
  <si>
    <t xml:space="preserve">Open public data hosted in Earth Engine</t>
  </si>
  <si>
    <t xml:space="preserve">C34</t>
  </si>
  <si>
    <t xml:space="preserve">Static landslide susceptibility</t>
  </si>
  <si>
    <t xml:space="preserve">LSI = Σ AHP weight × class rating; quantile classes</t>
  </si>
  <si>
    <t xml:space="preserve">Ratings, weights</t>
  </si>
  <si>
    <t xml:space="preserve">lsi_static + PNG</t>
  </si>
  <si>
    <t xml:space="preserve">C30, C33</t>
  </si>
  <si>
    <t xml:space="preserve">C35</t>
  </si>
  <si>
    <t xml:space="preserve">Rainfall-modulated landslide classes</t>
  </si>
  <si>
    <t xml:space="preserve">Caine (1980) threshold ratio g ∈ [0.5, 1.5]</t>
  </si>
  <si>
    <t xml:space="preserve">lsi_static, rain series</t>
  </si>
  <si>
    <t xml:space="preserve">lsi_dyn_class [H]</t>
  </si>
  <si>
    <t xml:space="preserve">C36</t>
  </si>
  <si>
    <t xml:space="preserve">S6</t>
  </si>
  <si>
    <t xml:space="preserve">Proxy structure classification</t>
  </si>
  <si>
    <t xml:space="preserve">Rules on footprint, height, density, new-since-2016; fragility + confidence</t>
  </si>
  <si>
    <t xml:space="preserve">Open Buildings</t>
  </si>
  <si>
    <t xml:space="preserve">Class per building</t>
  </si>
  <si>
    <t xml:space="preserve">engines/buildings.py</t>
  </si>
  <si>
    <t xml:space="preserve">SciPy KD-tree</t>
  </si>
  <si>
    <t xml:space="preserve">Replaces Street View classification (§3.2.3(a),(c)(v))</t>
  </si>
  <si>
    <t xml:space="preserve">C37</t>
  </si>
  <si>
    <t xml:space="preserve">Population to buildings</t>
  </si>
  <si>
    <t xml:space="preserve">Volume-weighted share per 30 m cell; multiplier/override</t>
  </si>
  <si>
    <t xml:space="preserve">pop30, buildings</t>
  </si>
  <si>
    <t xml:space="preserve">pop per building + unattributed</t>
  </si>
  <si>
    <t xml:space="preserve">engines/population.py</t>
  </si>
  <si>
    <t xml:space="preserve">C15, C36</t>
  </si>
  <si>
    <t xml:space="preserve">C38</t>
  </si>
  <si>
    <t xml:space="preserve">Exposure and triage</t>
  </si>
  <si>
    <t xml:space="preserve">Depth/landslide per building per hour; risk score; clusters</t>
  </si>
  <si>
    <t xml:space="preserve">depth_stack, lsi_dyn, pop</t>
  </si>
  <si>
    <t xml:space="preserve">ExposureSummary, triage</t>
  </si>
  <si>
    <t xml:space="preserve">engines/exposure.py</t>
  </si>
  <si>
    <t xml:space="preserve">C29, C35, C37</t>
  </si>
  <si>
    <t xml:space="preserve">C39</t>
  </si>
  <si>
    <t xml:space="preserve">Field verification queue</t>
  </si>
  <si>
    <t xml:space="preserve">risk × (1 − confidence) × people; top 50</t>
  </si>
  <si>
    <t xml:space="preserve">Exposure, classes</t>
  </si>
  <si>
    <t xml:space="preserve">Queue V1…</t>
  </si>
  <si>
    <t xml:space="preserve">C40</t>
  </si>
  <si>
    <t xml:space="preserve">S7</t>
  </si>
  <si>
    <t xml:space="preserve">Road graph projection and edge sampling</t>
  </si>
  <si>
    <t xml:space="preserve">Project to UTM; sample every 30 m; bridge flag</t>
  </si>
  <si>
    <t xml:space="preserve">OSM graphs</t>
  </si>
  <si>
    <t xml:space="preserve">edge_cells, bridge</t>
  </si>
  <si>
    <t xml:space="preserve">engines/roads.py</t>
  </si>
  <si>
    <t xml:space="preserve">OSMnx, NetworkX</t>
  </si>
  <si>
    <t xml:space="preserve">Libraries + open data</t>
  </si>
  <si>
    <t xml:space="preserve">Fri 16</t>
  </si>
  <si>
    <t xml:space="preserve">C17, C07</t>
  </si>
  <si>
    <t xml:space="preserve">C41</t>
  </si>
  <si>
    <t xml:space="preserve">Travel time</t>
  </si>
  <si>
    <t xml:space="preserve">Tobler hiking function (walk); OSMnx speeds (drive)</t>
  </si>
  <si>
    <t xml:space="preserve">Edges, DEM</t>
  </si>
  <si>
    <t xml:space="preserve">t0_s per edge</t>
  </si>
  <si>
    <t xml:space="preserve">OSMnx</t>
  </si>
  <si>
    <t xml:space="preserve">C40, C08</t>
  </si>
  <si>
    <t xml:space="preserve">C42</t>
  </si>
  <si>
    <t xml:space="preserve">Shelters and capacity</t>
  </si>
  <si>
    <t xml:space="preserve">OSM amenities; footprint × floors × 0.6 / 3.5 m² (Sphere)</t>
  </si>
  <si>
    <t xml:space="preserve">POIs, buildings</t>
  </si>
  <si>
    <t xml:space="preserve">Shelters S1…</t>
  </si>
  <si>
    <t xml:space="preserve">engines/shelters.py</t>
  </si>
  <si>
    <t xml:space="preserve">OpenStreetMap POIs</t>
  </si>
  <si>
    <t xml:space="preserve">Open data; Places API lat/lng can't be used for analysis</t>
  </si>
  <si>
    <t xml:space="preserve">Avoids §3.2.3(c)(iv)</t>
  </si>
  <si>
    <t xml:space="preserve">C17, C16</t>
  </si>
  <si>
    <t xml:space="preserve">C43</t>
  </si>
  <si>
    <t xml:space="preserve">Assembly and staging points</t>
  </si>
  <si>
    <t xml:space="preserve">Dry, flat, low-landslide components near roads</t>
  </si>
  <si>
    <t xml:space="preserve">depth, hand, slope, lsi</t>
  </si>
  <si>
    <t xml:space="preserve">A1…, G1…</t>
  </si>
  <si>
    <t xml:space="preserve">SciPy ndimage</t>
  </si>
  <si>
    <t xml:space="preserve">C29, C34</t>
  </si>
  <si>
    <t xml:space="preserve">C44</t>
  </si>
  <si>
    <t xml:space="preserve">S8</t>
  </si>
  <si>
    <t xml:space="preserve">Edge closure by hour</t>
  </si>
  <si>
    <t xml:space="preserve">Flood depth limit, bridge cut stage, landslide class 5, user blocks</t>
  </si>
  <si>
    <t xml:space="preserve">depth_stack, lsi_dyn, polygons</t>
  </si>
  <si>
    <t xml:space="preserve">first_closed_hour + reason</t>
  </si>
  <si>
    <t xml:space="preserve">engines/routing.py</t>
  </si>
  <si>
    <t xml:space="preserve">Shapely</t>
  </si>
  <si>
    <t xml:space="preserve">C40, C29, C35</t>
  </si>
  <si>
    <t xml:space="preserve">C45</t>
  </si>
  <si>
    <t xml:space="preserve">Capacity-aware assignment</t>
  </si>
  <si>
    <t xml:space="preserve">Transportation problem via network simplex; overflow edge</t>
  </si>
  <si>
    <t xml:space="preserve">Demand nodes, shelters, travel times</t>
  </si>
  <si>
    <t xml:space="preserve">Allocations, capacity gap</t>
  </si>
  <si>
    <t xml:space="preserve">NetworkX</t>
  </si>
  <si>
    <t xml:space="preserve">C44, C42, C38</t>
  </si>
  <si>
    <t xml:space="preserve">C46</t>
  </si>
  <si>
    <t xml:space="preserve">Routes and passable-until</t>
  </si>
  <si>
    <t xml:space="preserve">Shortest paths; min closure hour; use-now flag</t>
  </si>
  <si>
    <t xml:space="preserve">Allocations</t>
  </si>
  <si>
    <t xml:space="preserve">Routes GeoJSON, bridges table</t>
  </si>
  <si>
    <t xml:space="preserve">Drawn on Google map as our overlay (allowed)</t>
  </si>
  <si>
    <t xml:space="preserve">C47</t>
  </si>
  <si>
    <t xml:space="preserve">S9</t>
  </si>
  <si>
    <t xml:space="preserve">Crowding / evacuation-difficulty index</t>
  </si>
  <si>
    <t xml:space="preserve">POI attractor weights + building density + road narrowness</t>
  </si>
  <si>
    <t xml:space="preserve">OSM POIs, buildings, edges</t>
  </si>
  <si>
    <t xml:space="preserve">crowd grid, crowd_e, hotspots X1…</t>
  </si>
  <si>
    <t xml:space="preserve">engines/crowding.py</t>
  </si>
  <si>
    <t xml:space="preserve">Open data</t>
  </si>
  <si>
    <t xml:space="preserve">Replaces Places busyness and Street View congestion (§3.2.3(c)(iv),(v))</t>
  </si>
  <si>
    <t xml:space="preserve">C48</t>
  </si>
  <si>
    <t xml:space="preserve">Live traffic (visual only)</t>
  </si>
  <si>
    <t xml:space="preserve">Toggle the Maps Traffic Layer for humans</t>
  </si>
  <si>
    <t xml:space="preserve">Map layer</t>
  </si>
  <si>
    <t xml:space="preserve">Google Maps Platform</t>
  </si>
  <si>
    <t xml:space="preserve">Maps JavaScript API TrafficLayer</t>
  </si>
  <si>
    <t xml:space="preserve">Display only, never read into the engine</t>
  </si>
  <si>
    <t xml:space="preserve">P2</t>
  </si>
  <si>
    <t xml:space="preserve">C71</t>
  </si>
  <si>
    <t xml:space="preserve">C49</t>
  </si>
  <si>
    <t xml:space="preserve">S10</t>
  </si>
  <si>
    <t xml:space="preserve">Forecast (hourly/daily/alerts)</t>
  </si>
  <si>
    <t xml:space="preserve">forecast/hours (240 h), forecast/days (10 d), publicAlerts</t>
  </si>
  <si>
    <t xml:space="preserve">AOI centroid</t>
  </si>
  <si>
    <t xml:space="preserve">Rain series, alerts</t>
  </si>
  <si>
    <t xml:space="preserve">Weather API (weather.googleapis.com/v1/...)</t>
  </si>
  <si>
    <t xml:space="preserve">10-min in-memory only; VERIFY Weather caching terms</t>
  </si>
  <si>
    <t xml:space="preserve">C50</t>
  </si>
  <si>
    <t xml:space="preserve">IMD adapter (optional)</t>
  </si>
  <si>
    <t xml:space="preserve">Same interface as Weather provider</t>
  </si>
  <si>
    <t xml:space="preserve">Rain series</t>
  </si>
  <si>
    <t xml:space="preserve">IMD data (Govt of India)</t>
  </si>
  <si>
    <t xml:space="preserve">Optional official source; default stays Google</t>
  </si>
  <si>
    <t xml:space="preserve">Optional non-Google, flag in pitch</t>
  </si>
  <si>
    <t xml:space="preserve">C51</t>
  </si>
  <si>
    <t xml:space="preserve">Scenario series builders</t>
  </si>
  <si>
    <t xml:space="preserve">Wettest window; worst/best multipliers; manual hyetographs</t>
  </si>
  <si>
    <t xml:space="preserve">Forecast, params</t>
  </si>
  <si>
    <t xml:space="preserve">rain_series + label</t>
  </si>
  <si>
    <t xml:space="preserve">C52</t>
  </si>
  <si>
    <t xml:space="preserve">Past 90 days rainfall</t>
  </si>
  <si>
    <t xml:space="preserve">Daily sums of half-hourly IMERG</t>
  </si>
  <si>
    <t xml:space="preserve">Chart series</t>
  </si>
  <si>
    <t xml:space="preserve">NASA/GPM_L3/IMERG_V07 precipitation</t>
  </si>
  <si>
    <t xml:space="preserve">C53</t>
  </si>
  <si>
    <t xml:space="preserve">Historical extreme scenario</t>
  </si>
  <si>
    <t xml:space="preserve">Max daily CHIRPS 2001–2024 near the AOI</t>
  </si>
  <si>
    <t xml:space="preserve">Daily total (mm)</t>
  </si>
  <si>
    <t xml:space="preserve">UCSB-CHG/CHIRPS/DAILY</t>
  </si>
  <si>
    <t xml:space="preserve">C54</t>
  </si>
  <si>
    <t xml:space="preserve">S11</t>
  </si>
  <si>
    <t xml:space="preserve">India flood heat map</t>
  </si>
  <si>
    <t xml:space="preserve">GFD event count tiles via getMapId</t>
  </si>
  <si>
    <t xml:space="preserve">Tile URL</t>
  </si>
  <si>
    <t xml:space="preserve">GLOBAL_FLOOD_DB/MODIS_EVENTS/V1</t>
  </si>
  <si>
    <t xml:space="preserve">EE tiles overlaid on Maps (allowed)</t>
  </si>
  <si>
    <t xml:space="preserve">Sat 17</t>
  </si>
  <si>
    <t xml:space="preserve">C55</t>
  </si>
  <si>
    <t xml:space="preserve">Landslide heat map</t>
  </si>
  <si>
    <t xml:space="preserve">GLC points → GeoJSON heat</t>
  </si>
  <si>
    <t xml:space="preserve">Points</t>
  </si>
  <si>
    <t xml:space="preserve">projects/sat-io/open-datasets/events/global_landslide_1970-2019</t>
  </si>
  <si>
    <t xml:space="preserve">NASA GLC</t>
  </si>
  <si>
    <t xml:space="preserve">Open data in EE</t>
  </si>
  <si>
    <t xml:space="preserve">C56</t>
  </si>
  <si>
    <t xml:space="preserve">AOI historical event table</t>
  </si>
  <si>
    <t xml:space="preserve">Events with flooded pixels in AOI + GLC points</t>
  </si>
  <si>
    <t xml:space="preserve">Event list</t>
  </si>
  <si>
    <t xml:space="preserve">GFD properties (VERIFY names)</t>
  </si>
  <si>
    <t xml:space="preserve">C57</t>
  </si>
  <si>
    <t xml:space="preserve">Grounded web incidents</t>
  </si>
  <si>
    <t xml:space="preserve">Historian agent with built-in google_search; JSON with sources</t>
  </si>
  <si>
    <t xml:space="preserve">Place, bbox</t>
  </si>
  <si>
    <t xml:space="preserve">Incidents with URLs</t>
  </si>
  <si>
    <t xml:space="preserve">Vertex AI (Gemini); ADK; Grounding with Google Search; Geocoding API</t>
  </si>
  <si>
    <t xml:space="preserve">ADK google_search tool; Geocoding for display markers</t>
  </si>
  <si>
    <t xml:space="preserve">Show grounding attribution (VERIFY); geocodes for display only</t>
  </si>
  <si>
    <t xml:space="preserve">C65</t>
  </si>
  <si>
    <t xml:space="preserve">C58</t>
  </si>
  <si>
    <t xml:space="preserve">History–model agreement badge</t>
  </si>
  <si>
    <t xml:space="preserve">% of GFD flooded cells inside FSI ≥ 0.6</t>
  </si>
  <si>
    <t xml:space="preserve">gfd, fsi</t>
  </si>
  <si>
    <t xml:space="preserve">Badge value</t>
  </si>
  <si>
    <t xml:space="preserve">C31, C14</t>
  </si>
  <si>
    <t xml:space="preserve">C59</t>
  </si>
  <si>
    <t xml:space="preserve">S12</t>
  </si>
  <si>
    <t xml:space="preserve">Photo upload</t>
  </si>
  <si>
    <t xml:space="preserve">Multipart upload; EXIF GPS or map pin</t>
  </si>
  <si>
    <t xml:space="preserve">Image</t>
  </si>
  <si>
    <t xml:space="preserve">GCS object + doc</t>
  </si>
  <si>
    <t xml:space="preserve">photos/{aoi_id}/{photo_id}.jpg</t>
  </si>
  <si>
    <t xml:space="preserve">User's own photos, not Maps content</t>
  </si>
  <si>
    <t xml:space="preserve">C60</t>
  </si>
  <si>
    <t xml:space="preserve">Gemini vision classification</t>
  </si>
  <si>
    <t xml:space="preserve">Structured output: building class/materials or drain condition + confidence</t>
  </si>
  <si>
    <t xml:space="preserve">Photo</t>
  </si>
  <si>
    <t xml:space="preserve">BuildingPhotoResult / DrainPhotoResult</t>
  </si>
  <si>
    <t xml:space="preserve">Vertex AI (Gemini Flash)</t>
  </si>
  <si>
    <t xml:space="preserve">google-genai generate_content with response_schema</t>
  </si>
  <si>
    <t xml:space="preserve">Compliant (no Street View/Maps imagery)</t>
  </si>
  <si>
    <t xml:space="preserve">C61</t>
  </si>
  <si>
    <t xml:space="preserve">S13</t>
  </si>
  <si>
    <t xml:space="preserve">Urban pluvial ponding screening</t>
  </si>
  <si>
    <t xml:space="preserve">Priority-flood fill; depression volume vs rain excess</t>
  </si>
  <si>
    <t xml:space="preserve">DEM, C, rain</t>
  </si>
  <si>
    <t xml:space="preserve">Ponding likelihood</t>
  </si>
  <si>
    <t xml:space="preserve">engines/pluvial.py</t>
  </si>
  <si>
    <t xml:space="preserve">NumPy/heapq</t>
  </si>
  <si>
    <t xml:space="preserve">C62</t>
  </si>
  <si>
    <t xml:space="preserve">Drain inspection priority</t>
  </si>
  <si>
    <t xml:space="preserve">Waterways/culverts/road crossings scored by accumulation, FSI/ponding, exposure</t>
  </si>
  <si>
    <t xml:space="preserve">OSM waterways, layers</t>
  </si>
  <si>
    <t xml:space="preserve">Drains D1…</t>
  </si>
  <si>
    <t xml:space="preserve">engines/drains.py</t>
  </si>
  <si>
    <t xml:space="preserve">OpenStreetMap waterways</t>
  </si>
  <si>
    <t xml:space="preserve">C17, C61</t>
  </si>
  <si>
    <t xml:space="preserve">C63</t>
  </si>
  <si>
    <t xml:space="preserve">S14</t>
  </si>
  <si>
    <t xml:space="preserve">Deterministic run pipeline</t>
  </si>
  <si>
    <t xml:space="preserve">Fixed order S10→S3→S5→S6→S7.7→S8→render→store</t>
  </si>
  <si>
    <t xml:space="preserve">ScenarioParams</t>
  </si>
  <si>
    <t xml:space="preserve">RunResult</t>
  </si>
  <si>
    <t xml:space="preserve">Cloud Run; Firestore; Cloud Storage</t>
  </si>
  <si>
    <t xml:space="preserve">pipeline/run_pipeline.py</t>
  </si>
  <si>
    <t xml:space="preserve">C29–C46</t>
  </si>
  <si>
    <t xml:space="preserve">C64</t>
  </si>
  <si>
    <t xml:space="preserve">Agent tools</t>
  </si>
  <si>
    <t xml:space="preserve">Typed Python functions returning compact dicts</t>
  </si>
  <si>
    <t xml:space="preserve">Run ids, params</t>
  </si>
  <si>
    <t xml:space="preserve">Tool results</t>
  </si>
  <si>
    <t xml:space="preserve">Agent Development Kit (ADK)</t>
  </si>
  <si>
    <t xml:space="preserve">ADK FunctionTool (auto-wrapped)</t>
  </si>
  <si>
    <t xml:space="preserve">Compliant (Google agent platform)</t>
  </si>
  <si>
    <t xml:space="preserve">Scenario planner agent</t>
  </si>
  <si>
    <t xml:space="preserve">NL → ScenarioParams via output_schema; human approves diff</t>
  </si>
  <si>
    <t xml:space="preserve">Text, current params</t>
  </si>
  <si>
    <t xml:space="preserve">Vertex AI (Gemini Flash); ADK</t>
  </si>
  <si>
    <t xml:space="preserve">ADK LlmAgent(output_schema=ScenarioParams)</t>
  </si>
  <si>
    <t xml:space="preserve">C66</t>
  </si>
  <si>
    <t xml:space="preserve">Analyst chat agent</t>
  </si>
  <si>
    <t xml:space="preserve">Tool-calling what-if assistant; cites ids; never invents numbers</t>
  </si>
  <si>
    <t xml:space="preserve">Chat message</t>
  </si>
  <si>
    <t xml:space="preserve">Reply + new run id</t>
  </si>
  <si>
    <t xml:space="preserve">ADK LlmAgent + Runner + InMemorySessionService</t>
  </si>
  <si>
    <t xml:space="preserve">C67</t>
  </si>
  <si>
    <t xml:space="preserve">Full-assessment workflow (showcase)</t>
  </si>
  <si>
    <t xml:space="preserve">SequentialAgent: planner → pipeline agent → advisor</t>
  </si>
  <si>
    <t xml:space="preserve">Text</t>
  </si>
  <si>
    <t xml:space="preserve">Run + advisory</t>
  </si>
  <si>
    <t xml:space="preserve">ADK</t>
  </si>
  <si>
    <t xml:space="preserve">ADK SequentialAgent + custom BaseAgent</t>
  </si>
  <si>
    <t xml:space="preserve">C65, C69</t>
  </si>
  <si>
    <t xml:space="preserve">C68</t>
  </si>
  <si>
    <t xml:space="preserve">S15</t>
  </si>
  <si>
    <t xml:space="preserve">Facts builder</t>
  </si>
  <si>
    <t xml:space="preserve">Deterministic compact JSON with ids (K, C, S, B, R, A, G, M, H, L, X, D, V)</t>
  </si>
  <si>
    <t xml:space="preserve">facts JSON</t>
  </si>
  <si>
    <t xml:space="preserve">pipeline/facts.py</t>
  </si>
  <si>
    <t xml:space="preserve">C69</t>
  </si>
  <si>
    <t xml:space="preserve">Advisory generation</t>
  </si>
  <si>
    <t xml:space="preserve">Three horizons, P1–P3, evidence ids, exact disclaimer</t>
  </si>
  <si>
    <t xml:space="preserve">Advisory</t>
  </si>
  <si>
    <t xml:space="preserve">Vertex AI (Gemini Pro)</t>
  </si>
  <si>
    <t xml:space="preserve">google-genai response_schema=Advisory</t>
  </si>
  <si>
    <t xml:space="preserve">C70</t>
  </si>
  <si>
    <t xml:space="preserve">Advisory validator and rules fallback</t>
  </si>
  <si>
    <t xml:space="preserve">Drop unknown ids / unsupported numbers; rule templates fill gaps</t>
  </si>
  <si>
    <t xml:space="preserve">Advisory, facts</t>
  </si>
  <si>
    <t xml:space="preserve">Validated Advisory</t>
  </si>
  <si>
    <t xml:space="preserve">Cloud Run (compute); Firestore</t>
  </si>
  <si>
    <t xml:space="preserve">agents/advisor.py; advisories/{id}</t>
  </si>
  <si>
    <t xml:space="preserve">S16</t>
  </si>
  <si>
    <t xml:space="preserve">Base map and overlays</t>
  </si>
  <si>
    <t xml:space="preserve">Map with Map ID; deck.gl GoogleMapsOverlay for bitmaps/GeoJSON/heat</t>
  </si>
  <si>
    <t xml:space="preserve">URLs, GeoJSON</t>
  </si>
  <si>
    <t xml:space="preserve">Interactive map</t>
  </si>
  <si>
    <t xml:space="preserve">Maps JavaScript API via @vis.gl/react-google-maps</t>
  </si>
  <si>
    <t xml:space="preserve">deck.gl (open-source)</t>
  </si>
  <si>
    <t xml:space="preserve">Our data drawn over Maps (allowed)</t>
  </si>
  <si>
    <t xml:space="preserve">C72</t>
  </si>
  <si>
    <t xml:space="preserve">AOI and block-road drawing</t>
  </si>
  <si>
    <t xml:space="preserve">Rectangle and polygon tools</t>
  </si>
  <si>
    <t xml:space="preserve">User input</t>
  </si>
  <si>
    <t xml:space="preserve">GeoJSON</t>
  </si>
  <si>
    <t xml:space="preserve">Terra Draw + Google Maps adapter (Drawing Library unavailable since May 2026)</t>
  </si>
  <si>
    <t xml:space="preserve">Terra Draw (open-source)</t>
  </si>
  <si>
    <t xml:space="preserve">Library; Google points to it as the replacement</t>
  </si>
  <si>
    <t xml:space="preserve">C73</t>
  </si>
  <si>
    <t xml:space="preserve">Explore page</t>
  </si>
  <si>
    <t xml:space="preserve">India history heat, search, draw → prepare</t>
  </si>
  <si>
    <t xml:space="preserve">Google Maps Platform; Earth Engine tiles</t>
  </si>
  <si>
    <t xml:space="preserve">Maps JS; EE getMapId tiles</t>
  </si>
  <si>
    <t xml:space="preserve">Display only</t>
  </si>
  <si>
    <t xml:space="preserve">C71, C72, C54</t>
  </si>
  <si>
    <t xml:space="preserve">C74</t>
  </si>
  <si>
    <t xml:space="preserve">Workspace page</t>
  </si>
  <si>
    <t xml:space="preserve">Layers, scenario controls, time slider, results, charts</t>
  </si>
  <si>
    <t xml:space="preserve">UI</t>
  </si>
  <si>
    <t xml:space="preserve">Maps JS</t>
  </si>
  <si>
    <t xml:space="preserve">Recharts (open-source)</t>
  </si>
  <si>
    <t xml:space="preserve">C75</t>
  </si>
  <si>
    <t xml:space="preserve">Advisory page + print</t>
  </si>
  <si>
    <t xml:space="preserve">Three-horizon cards, evidence fly-to, print CSS</t>
  </si>
  <si>
    <t xml:space="preserve">Brief / PDF via browser print</t>
  </si>
  <si>
    <t xml:space="preserve">C76</t>
  </si>
  <si>
    <t xml:space="preserve">Verify page</t>
  </si>
  <si>
    <t xml:space="preserve">Verification queue + photo uploader</t>
  </si>
  <si>
    <t xml:space="preserve">Queue, photos</t>
  </si>
  <si>
    <t xml:space="preserve">Results</t>
  </si>
  <si>
    <t xml:space="preserve">C39, C60</t>
  </si>
  <si>
    <t xml:space="preserve">C77</t>
  </si>
  <si>
    <t xml:space="preserve">Methods and attributions page</t>
  </si>
  <si>
    <t xml:space="preserve">Methods, formulas, AHP tables, limitations, licences</t>
  </si>
  <si>
    <t xml:space="preserve">Page</t>
  </si>
  <si>
    <t xml:space="preserve">Attributions shown</t>
  </si>
  <si>
    <t xml:space="preserve">C78</t>
  </si>
  <si>
    <t xml:space="preserve">Chat panel</t>
  </si>
  <si>
    <t xml:space="preserve">Slide-over chat; loads new runs</t>
  </si>
  <si>
    <t xml:space="preserve">Chat</t>
  </si>
  <si>
    <t xml:space="preserve">Firebase Hosting; Cloud Run</t>
  </si>
  <si>
    <t xml:space="preserve">/api/chat</t>
  </si>
  <si>
    <t xml:space="preserve">C79</t>
  </si>
  <si>
    <t xml:space="preserve">Place search box</t>
  </si>
  <si>
    <t xml:space="preserve">Backend geocoding of a typed place</t>
  </si>
  <si>
    <t xml:space="preserve">Map centre</t>
  </si>
  <si>
    <t xml:space="preserve">Geocoding API (server key)</t>
  </si>
  <si>
    <t xml:space="preserve">Display/navigation only</t>
  </si>
  <si>
    <t xml:space="preserve">C80</t>
  </si>
  <si>
    <t xml:space="preserve">Street View viewing</t>
  </si>
  <si>
    <t xml:space="preserve">Pegman for humans to look; never sent to Gemini or stored</t>
  </si>
  <si>
    <t xml:space="preserve">Panorama</t>
  </si>
  <si>
    <t xml:space="preserve">Maps JavaScript API Street View</t>
  </si>
  <si>
    <t xml:space="preserve">Display only (§3.2.3 respected)</t>
  </si>
  <si>
    <t xml:space="preserve">C81</t>
  </si>
  <si>
    <t xml:space="preserve">S17</t>
  </si>
  <si>
    <t xml:space="preserve">Deploy and smoke test</t>
  </si>
  <si>
    <t xml:space="preserve">Deploy both; health → prepare → run → advisory</t>
  </si>
  <si>
    <t xml:space="preserve">Live URLs</t>
  </si>
  <si>
    <t xml:space="preserve">Cloud Run; Firebase Hosting; Secret Manager</t>
  </si>
  <si>
    <t xml:space="preserve">gcloud run deploy; firebase deploy</t>
  </si>
  <si>
    <t xml:space="preserve">Compliant (required hosting)</t>
  </si>
  <si>
    <t xml:space="preserve">Keys restricted</t>
  </si>
  <si>
    <t xml:space="preserve">All P0</t>
  </si>
  <si>
    <t xml:space="preserve">C82</t>
  </si>
  <si>
    <t xml:space="preserve">S18</t>
  </si>
  <si>
    <t xml:space="preserve">Demo AOI preprocessing and backtest</t>
  </si>
  <si>
    <t xml:space="preserve">Prepare Rudraprayag + Mumbai; overlap vs GFD</t>
  </si>
  <si>
    <t xml:space="preserve">AOIs</t>
  </si>
  <si>
    <t xml:space="preserve">Cached layers; backtest %</t>
  </si>
  <si>
    <t xml:space="preserve">Earth Engine (noncommercial); Cloud Run</t>
  </si>
  <si>
    <t xml:space="preserve">scripts/preprocess_demo_aoi.py</t>
  </si>
  <si>
    <t xml:space="preserve">Sun 18</t>
  </si>
  <si>
    <t xml:space="preserve">C83</t>
  </si>
  <si>
    <t xml:space="preserve">Submission assets</t>
  </si>
  <si>
    <t xml:space="preserve">README, architecture diagram, demo video, format per Hack2skill</t>
  </si>
  <si>
    <t xml:space="preserve">Submission</t>
  </si>
  <si>
    <t xml:space="preserve">Check dashboard</t>
  </si>
  <si>
    <t xml:space="preserve">C84</t>
  </si>
  <si>
    <t xml:space="preserve">S19</t>
  </si>
  <si>
    <t xml:space="preserve">3D terrain + buildings + water (OPT)</t>
  </si>
  <si>
    <t xml:space="preserve">deck.gl TerrainLayer from our DEM; extruded Open Buildings; water at dem + depth</t>
  </si>
  <si>
    <t xml:space="preserve">DEM, buildings, depth</t>
  </si>
  <si>
    <t xml:space="preserve">3D view</t>
  </si>
  <si>
    <t xml:space="preserve">Earth Engine data; Firebase Hosting</t>
  </si>
  <si>
    <t xml:space="preserve">deck.gl Deck (standalone)</t>
  </si>
  <si>
    <t xml:space="preserve">Elevation API NOT used for terrain (§3.2.3(c)(iii))</t>
  </si>
  <si>
    <t xml:space="preserve">OPT</t>
  </si>
  <si>
    <t xml:space="preserve">C29, C16</t>
  </si>
  <si>
    <t xml:space="preserve">C85</t>
  </si>
  <si>
    <t xml:space="preserve">Photorealistic 3D backdrop (OPT)</t>
  </si>
  <si>
    <t xml:space="preserve">3D Maps where coverage exists</t>
  </si>
  <si>
    <t xml:space="preserve">3D backdrop</t>
  </si>
  <si>
    <t xml:space="preserve">Map Tiles API / Maps JS 3D Maps (VERIFY API, coverage)</t>
  </si>
  <si>
    <t xml:space="preserve">Google service</t>
  </si>
  <si>
    <t xml:space="preserve">Used for</t>
  </si>
  <si>
    <t xml:space="preserve">Component IDs</t>
  </si>
  <si>
    <t xml:space="preserve">Billing / credit</t>
  </si>
  <si>
    <t xml:space="preserve">Spec section</t>
  </si>
  <si>
    <t xml:space="preserve">Notes</t>
  </si>
  <si>
    <t xml:space="preserve">Cloud Run</t>
  </si>
  <si>
    <t xml:space="preserve">Backend API + all engine compute + ADK agents</t>
  </si>
  <si>
    <t xml:space="preserve">C01, C06–C70, C81</t>
  </si>
  <si>
    <t xml:space="preserve">Trial credit ($300, 90 days)</t>
  </si>
  <si>
    <t xml:space="preserve">S0.12, S17.1</t>
  </si>
  <si>
    <t xml:space="preserve">Required host by challenge rules. Region asia-south1.</t>
  </si>
  <si>
    <t xml:space="preserve">Frontend web app; /api rewrite to Cloud Run</t>
  </si>
  <si>
    <t xml:space="preserve">C02, C71–C80</t>
  </si>
  <si>
    <t xml:space="preserve">Free tier / trial credit</t>
  </si>
  <si>
    <t xml:space="preserve">S0.13, S17.2</t>
  </si>
  <si>
    <t xml:space="preserve">Required host option by challenge rules.</t>
  </si>
  <si>
    <t xml:space="preserve">Vertex AI: Gemini (Flash)</t>
  </si>
  <si>
    <t xml:space="preserve">Scenario planner, analyst chat, photo classifier, historian</t>
  </si>
  <si>
    <t xml:space="preserve">C05, C57, C60, C65, C66</t>
  </si>
  <si>
    <t xml:space="preserve">Trial credit</t>
  </si>
  <si>
    <t xml:space="preserve">S0.10, S14.8</t>
  </si>
  <si>
    <t xml:space="preserve">Model name picked from the live model list. Never hardcoded.</t>
  </si>
  <si>
    <t xml:space="preserve">Vertex AI: Gemini (Pro)</t>
  </si>
  <si>
    <t xml:space="preserve">Advisory brief (structured output)</t>
  </si>
  <si>
    <t xml:space="preserve">S15.2</t>
  </si>
  <si>
    <t xml:space="preserve">Structured output with response_schema.</t>
  </si>
  <si>
    <t xml:space="preserve">Agents, function tools, runner, sessions, SequentialAgent</t>
  </si>
  <si>
    <t xml:space="preserve">C64–C67, C57</t>
  </si>
  <si>
    <t xml:space="preserve">Open-source framework (runs on Cloud Run)</t>
  </si>
  <si>
    <t xml:space="preserve">Google's agent platform, matching the challenge's 'agentic' track.</t>
  </si>
  <si>
    <t xml:space="preserve">Grounding with Google Search</t>
  </si>
  <si>
    <t xml:space="preserve">Historian agent finds documented past incidents with sources</t>
  </si>
  <si>
    <t xml:space="preserve">Billed per grounded request (VERIFY price)</t>
  </si>
  <si>
    <t xml:space="preserve">S11.4</t>
  </si>
  <si>
    <t xml:space="preserve">Show grounding attributions as required (VERIFY).</t>
  </si>
  <si>
    <t xml:space="preserve">Earth Engine</t>
  </si>
  <si>
    <t xml:space="preserve">All geospatial analysis data: DEM, HAND, land cover, population, buildings, rainfall, floods, landslides; map tiles</t>
  </si>
  <si>
    <t xml:space="preserve">C08–C16, C20, C33, C52–C56, C82, C84</t>
  </si>
  <si>
    <t xml:space="preserve">Noncommercial: not charged; quota 150–1,000 EECU-h/month</t>
  </si>
  <si>
    <t xml:space="preserve">S0.3, S1, S2</t>
  </si>
  <si>
    <t xml:space="preserve">Register the project as noncommercial. Some datasets are CC-BY-NC.</t>
  </si>
  <si>
    <t xml:space="preserve">Layer cache (.npz), overlay PNGs, run arrays, photos</t>
  </si>
  <si>
    <t xml:space="preserve">C17–C19, C29, C46, C59</t>
  </si>
  <si>
    <t xml:space="preserve">S0.5, S1.11</t>
  </si>
  <si>
    <t xml:space="preserve">Private bucket; signed URLs.</t>
  </si>
  <si>
    <t xml:space="preserve">Firestore</t>
  </si>
  <si>
    <t xml:space="preserve">AOIs, runs, advisories, photo results, history cache</t>
  </si>
  <si>
    <t xml:space="preserve">C06, C18, C59, C63, C70</t>
  </si>
  <si>
    <t xml:space="preserve">S0.5</t>
  </si>
  <si>
    <t xml:space="preserve">Native mode, asia-south1.</t>
  </si>
  <si>
    <t xml:space="preserve">Secret Manager</t>
  </si>
  <si>
    <t xml:space="preserve">Server API key</t>
  </si>
  <si>
    <t xml:space="preserve">S0.6</t>
  </si>
  <si>
    <t xml:space="preserve">Mounted as an env var on Cloud Run.</t>
  </si>
  <si>
    <t xml:space="preserve">Cloud Build + Artifact Registry</t>
  </si>
  <si>
    <t xml:space="preserve">Container builds for Cloud Run</t>
  </si>
  <si>
    <t xml:space="preserve">C01, C81</t>
  </si>
  <si>
    <t xml:space="preserve">S0.12</t>
  </si>
  <si>
    <t xml:space="preserve">gcloud run deploy --source.</t>
  </si>
  <si>
    <t xml:space="preserve">Cloud Billing budgets</t>
  </si>
  <si>
    <t xml:space="preserve">Spend alerts</t>
  </si>
  <si>
    <t xml:space="preserve">Free</t>
  </si>
  <si>
    <t xml:space="preserve">S0.8</t>
  </si>
  <si>
    <t xml:space="preserve">$100 budget with alerts.</t>
  </si>
  <si>
    <t xml:space="preserve">IAM</t>
  </si>
  <si>
    <t xml:space="preserve">Service account pravah-backend with least-privilege roles</t>
  </si>
  <si>
    <t xml:space="preserve">S0.4</t>
  </si>
  <si>
    <t xml:space="preserve">Roles: Vertex AI User, EE role (VERIFY), Datastore User, Storage (bucket), Secret Accessor, Service Usage Consumer.</t>
  </si>
  <si>
    <t xml:space="preserve">Maps JavaScript API</t>
  </si>
  <si>
    <t xml:space="preserve">Base map, our overlays, Traffic Layer, Street View viewing</t>
  </si>
  <si>
    <t xml:space="preserve">C48, C71–C74, C80</t>
  </si>
  <si>
    <t xml:space="preserve">Maps monthly free usage + trial credit if on the same billing account (VERIFY)</t>
  </si>
  <si>
    <t xml:space="preserve">S0.6–S0.7, S16</t>
  </si>
  <si>
    <t xml:space="preserve">Display only. Never an analysis input.</t>
  </si>
  <si>
    <t xml:space="preserve">Weather API (Maps Platform)</t>
  </si>
  <si>
    <t xml:space="preserve">Hourly (240 h) and daily (10 d) forecasts, public alerts</t>
  </si>
  <si>
    <t xml:space="preserve">Maps free usage + trial credit (VERIFY)</t>
  </si>
  <si>
    <t xml:space="preserve">S10.2</t>
  </si>
  <si>
    <t xml:space="preserve">No persistent caching (§3.2.3(b)); VERIFY service-specific terms.</t>
  </si>
  <si>
    <t xml:space="preserve">Geocoding API (Maps Platform)</t>
  </si>
  <si>
    <t xml:space="preserve">Search box; display markers for web incidents</t>
  </si>
  <si>
    <t xml:space="preserve">C57, C79</t>
  </si>
  <si>
    <t xml:space="preserve">Maps free usage + trial credit</t>
  </si>
  <si>
    <t xml:space="preserve">S11.4, S16.3</t>
  </si>
  <si>
    <t xml:space="preserve">Display and navigation only.</t>
  </si>
  <si>
    <t xml:space="preserve">Map Tiles API (Maps Platform)</t>
  </si>
  <si>
    <t xml:space="preserve">Photorealistic 3D backdrop (optional)</t>
  </si>
  <si>
    <t xml:space="preserve">S19.2</t>
  </si>
  <si>
    <t xml:space="preserve">Optional; VERIFY coverage over the demo AOI.</t>
  </si>
  <si>
    <t xml:space="preserve">Dataset</t>
  </si>
  <si>
    <t xml:space="preserve">Provider</t>
  </si>
  <si>
    <t xml:space="preserve">Access ID / endpoint</t>
  </si>
  <si>
    <t xml:space="preserve">Resolution</t>
  </si>
  <si>
    <t xml:space="preserve">Period</t>
  </si>
  <si>
    <t xml:space="preserve">Licence</t>
  </si>
  <si>
    <t xml:space="preserve">Used in</t>
  </si>
  <si>
    <t xml:space="preserve">ID check</t>
  </si>
  <si>
    <t xml:space="preserve">Copernicus DEM GLO-30</t>
  </si>
  <si>
    <t xml:space="preserve">ESA / Copernicus</t>
  </si>
  <si>
    <t xml:space="preserve">Earth Engine: COPERNICUS/DEM/GLO30 (marked deprecated; successor COPERNICUS/DEM/GLO30_2024_1)</t>
  </si>
  <si>
    <t xml:space="preserve">30 m</t>
  </si>
  <si>
    <t xml:space="preserve">Free licence (except Armenia/Azerbaijan)</t>
  </si>
  <si>
    <t xml:space="preserve">C08, C84</t>
  </si>
  <si>
    <t xml:space="preserve">Verified 14 Oct (successor ID: VERIFY)</t>
  </si>
  <si>
    <t xml:space="preserve">MERIT Hydro v1.0.1 (hnd, dir, upa, elv)</t>
  </si>
  <si>
    <t xml:space="preserve">Yamazaki et al.</t>
  </si>
  <si>
    <t xml:space="preserve">Earth Engine: MERIT/Hydro/v1_0_1</t>
  </si>
  <si>
    <t xml:space="preserve">~90 m (3″)</t>
  </si>
  <si>
    <t xml:space="preserve">CC-BY-NC 4.0 or ODbL 1.0</t>
  </si>
  <si>
    <t xml:space="preserve">C09, C20–C23</t>
  </si>
  <si>
    <t xml:space="preserve">Verified 14 Oct</t>
  </si>
  <si>
    <t xml:space="preserve">Open Buildings v3 polygons</t>
  </si>
  <si>
    <t xml:space="preserve">Google Research</t>
  </si>
  <si>
    <t xml:space="preserve">Earth Engine: GOOGLE/Research/open-buildings/v3/polygons</t>
  </si>
  <si>
    <t xml:space="preserve">Vector</t>
  </si>
  <si>
    <t xml:space="preserve">CC-BY 4.0</t>
  </si>
  <si>
    <t xml:space="preserve">C16, C36</t>
  </si>
  <si>
    <t xml:space="preserve">Verified 14 Oct (India coverage: check count)</t>
  </si>
  <si>
    <t xml:space="preserve">Open Buildings 2.5D Temporal</t>
  </si>
  <si>
    <t xml:space="preserve">Earth Engine: GOOGLE/Research/open-buildings-temporal/v1</t>
  </si>
  <si>
    <t xml:space="preserve">4 m effective</t>
  </si>
  <si>
    <t xml:space="preserve">2016–2023</t>
  </si>
  <si>
    <t xml:space="preserve">CC-BY 4.0 or ODbL</t>
  </si>
  <si>
    <t xml:space="preserve">C16, C36, C84</t>
  </si>
  <si>
    <t xml:space="preserve">WorldPop population</t>
  </si>
  <si>
    <t xml:space="preserve">WorldPop</t>
  </si>
  <si>
    <t xml:space="preserve">Earth Engine: WorldPop/GP/100m/pop</t>
  </si>
  <si>
    <t xml:space="preserve">100 m</t>
  </si>
  <si>
    <t xml:space="preserve">Latest year: VERIFY</t>
  </si>
  <si>
    <t xml:space="preserve">VERIFY (typically CC-BY 4.0)</t>
  </si>
  <si>
    <t xml:space="preserve">C15, C37</t>
  </si>
  <si>
    <t xml:space="preserve">ID verified 14 Oct</t>
  </si>
  <si>
    <t xml:space="preserve">Global Flood Database v1</t>
  </si>
  <si>
    <t xml:space="preserve">Cloud to Street / Tellman et al.</t>
  </si>
  <si>
    <t xml:space="preserve">Earth Engine: GLOBAL_FLOOD_DB/MODIS_EVENTS/V1</t>
  </si>
  <si>
    <t xml:space="preserve">250 m classification</t>
  </si>
  <si>
    <t xml:space="preserve">2000–2018</t>
  </si>
  <si>
    <t xml:space="preserve">CC-BY-NC 4.0</t>
  </si>
  <si>
    <t xml:space="preserve">C14, C54, C56, C58</t>
  </si>
  <si>
    <t xml:space="preserve">CHIRPS daily rainfall</t>
  </si>
  <si>
    <t xml:space="preserve">UCSB Climate Hazards Center</t>
  </si>
  <si>
    <t xml:space="preserve">Earth Engine: UCSB-CHG/CHIRPS/DAILY</t>
  </si>
  <si>
    <t xml:space="preserve">0.05°</t>
  </si>
  <si>
    <t xml:space="preserve">1981 → ~2026</t>
  </si>
  <si>
    <t xml:space="preserve">VERIFY</t>
  </si>
  <si>
    <t xml:space="preserve">C13, C53</t>
  </si>
  <si>
    <t xml:space="preserve">GPM IMERG V07</t>
  </si>
  <si>
    <t xml:space="preserve">NASA</t>
  </si>
  <si>
    <t xml:space="preserve">Earth Engine: NASA/GPM_L3/IMERG_V07</t>
  </si>
  <si>
    <t xml:space="preserve">0.1°, half-hourly (mm/h)</t>
  </si>
  <si>
    <t xml:space="preserve">1998 → near real time</t>
  </si>
  <si>
    <t xml:space="preserve">NASA open data</t>
  </si>
  <si>
    <t xml:space="preserve">Dynamic World land cover</t>
  </si>
  <si>
    <t xml:space="preserve">Google / WRI</t>
  </si>
  <si>
    <t xml:space="preserve">Earth Engine: GOOGLE/DYNAMICWORLD/V1</t>
  </si>
  <si>
    <t xml:space="preserve">10 m</t>
  </si>
  <si>
    <t xml:space="preserve">2015 → present</t>
  </si>
  <si>
    <t xml:space="preserve">VERIFY (CC-BY 4.0)</t>
  </si>
  <si>
    <t xml:space="preserve">C10, C26</t>
  </si>
  <si>
    <t xml:space="preserve">Sentinel-2 SR (harmonized)</t>
  </si>
  <si>
    <t xml:space="preserve">Earth Engine: COPERNICUS/S2_SR_HARMONIZED</t>
  </si>
  <si>
    <t xml:space="preserve">2017 → present</t>
  </si>
  <si>
    <t xml:space="preserve">Copernicus open licence</t>
  </si>
  <si>
    <t xml:space="preserve">JRC Global Surface Water</t>
  </si>
  <si>
    <t xml:space="preserve">EC JRC</t>
  </si>
  <si>
    <t xml:space="preserve">Earth Engine: JRC/GSW1_4/GlobalSurfaceWater (VERIFY latest)</t>
  </si>
  <si>
    <t xml:space="preserve">1984 → ~2021</t>
  </si>
  <si>
    <t xml:space="preserve">OpenLandMap soil clay</t>
  </si>
  <si>
    <t xml:space="preserve">OpenLandMap</t>
  </si>
  <si>
    <t xml:space="preserve">Earth Engine: OpenLandMap/SOL/SOL_CLAY-WFRACTION_USDA-3A1A1A_M/v02 (VERIFY)</t>
  </si>
  <si>
    <t xml:space="preserve">250 m</t>
  </si>
  <si>
    <t xml:space="preserve">NASA Global Landslide Catalog</t>
  </si>
  <si>
    <t xml:space="preserve">NASA GSFC (community-hosted)</t>
  </si>
  <si>
    <t xml:space="preserve">Earth Engine community: projects/sat-io/open-datasets/events/global_landslide_1970-2019</t>
  </si>
  <si>
    <t xml:space="preserve">1970–2019</t>
  </si>
  <si>
    <t xml:space="preserve">Public access (VERIFY formal terms)</t>
  </si>
  <si>
    <t xml:space="preserve">C33, C55</t>
  </si>
  <si>
    <t xml:space="preserve">Listed in community catalog 14 Oct</t>
  </si>
  <si>
    <t xml:space="preserve">OpenStreetMap roads, POIs, waterways</t>
  </si>
  <si>
    <t xml:space="preserve">OSM contributors</t>
  </si>
  <si>
    <t xml:space="preserve">OSMnx → Overpass API</t>
  </si>
  <si>
    <t xml:space="preserve">Live</t>
  </si>
  <si>
    <t xml:space="preserve">ODbL ('© OpenStreetMap contributors')</t>
  </si>
  <si>
    <t xml:space="preserve">C17, C40–C47, C62</t>
  </si>
  <si>
    <t xml:space="preserve">Weather forecast</t>
  </si>
  <si>
    <t xml:space="preserve">Weather API: forecast/hours, forecast/days, publicAlerts</t>
  </si>
  <si>
    <t xml:space="preserve">Point</t>
  </si>
  <si>
    <t xml:space="preserve">240 h / 10 d</t>
  </si>
  <si>
    <t xml:space="preserve">Maps Platform Terms</t>
  </si>
  <si>
    <t xml:space="preserve">Endpoints verified 14 Oct</t>
  </si>
  <si>
    <t xml:space="preserve">Field photos</t>
  </si>
  <si>
    <t xml:space="preserve">Authorities / project owner</t>
  </si>
  <si>
    <t xml:space="preserve">User upload</t>
  </si>
  <si>
    <t xml:space="preserve">Owner's own images or openly licensed with attribution</t>
  </si>
  <si>
    <t xml:space="preserve">C59, C60</t>
  </si>
  <si>
    <t xml:space="preserve">Area</t>
  </si>
  <si>
    <t xml:space="preserve">Rule</t>
  </si>
  <si>
    <t xml:space="preserve">Source</t>
  </si>
  <si>
    <t xml:space="preserve">How we comply</t>
  </si>
  <si>
    <t xml:space="preserve">Open risk / action</t>
  </si>
  <si>
    <t xml:space="preserve">Challenge</t>
  </si>
  <si>
    <t xml:space="preserve">Use Google AI models (Gemini/Gemma) or Google agentic platforms</t>
  </si>
  <si>
    <t xml:space="preserve">Event listing (Metropolis, Hack2skill)</t>
  </si>
  <si>
    <t xml:space="preserve">Gemini on Vertex AI for every AI step; agents built with ADK</t>
  </si>
  <si>
    <t xml:space="preserve">None</t>
  </si>
  <si>
    <t xml:space="preserve">Deploy on Google Cloud via Cloud Run or Firebase</t>
  </si>
  <si>
    <t xml:space="preserve">Event listing</t>
  </si>
  <si>
    <t xml:space="preserve">Backend on Cloud Run; frontend on Firebase Hosting</t>
  </si>
  <si>
    <t xml:space="preserve">Team of 2–4, all 21+</t>
  </si>
  <si>
    <t xml:space="preserve">Event listings</t>
  </si>
  <si>
    <t xml:space="preserve">Confirm the second member has joined on the dashboard</t>
  </si>
  <si>
    <t xml:space="preserve">Team card showed an empty slot</t>
  </si>
  <si>
    <t xml:space="preserve">Prototype due 18 Oct 2026</t>
  </si>
  <si>
    <t xml:space="preserve">Hack2skill dashboard</t>
  </si>
  <si>
    <t xml:space="preserve">Submit by 12:00 IST Sunday</t>
  </si>
  <si>
    <t xml:space="preserve">Check the required submission format</t>
  </si>
  <si>
    <t xml:space="preserve">Maps ToS §3.2.3(a)</t>
  </si>
  <si>
    <t xml:space="preserve">No scraping, bulk download of Street View images or elevation values</t>
  </si>
  <si>
    <t xml:space="preserve">cloud.google.com/maps-platform/terms</t>
  </si>
  <si>
    <t xml:space="preserve">No Street View/elevation extraction; analysis data from Earth Engine + OSM</t>
  </si>
  <si>
    <t xml:space="preserve">Maps ToS §3.2.3(b)</t>
  </si>
  <si>
    <t xml:space="preserve">No caching except as permitted</t>
  </si>
  <si>
    <t xml:space="preserve">Same</t>
  </si>
  <si>
    <t xml:space="preserve">Weather responses held in memory 10 min; runs store the scenario label + series used</t>
  </si>
  <si>
    <t xml:space="preserve">VERIFY Weather API service-specific caching terms</t>
  </si>
  <si>
    <t xml:space="preserve">Maps ToS §3.2.3(c)(iii)</t>
  </si>
  <si>
    <t xml:space="preserve">No terrain models from Elevation API values</t>
  </si>
  <si>
    <t xml:space="preserve">Terrain/slope/HAND from Copernicus DEM + MERIT in Earth Engine; Elevation API not used</t>
  </si>
  <si>
    <t xml:space="preserve">Maps ToS §3.2.3(c)(iv)</t>
  </si>
  <si>
    <t xml:space="preserve">No Places API lat/lng in point-in-polygon analysis</t>
  </si>
  <si>
    <t xml:space="preserve">Shelters, POIs and crowding from OpenStreetMap</t>
  </si>
  <si>
    <t xml:space="preserve">Maps ToS §3.2.3(c)(v)</t>
  </si>
  <si>
    <t xml:space="preserve">No indexes built from Street View imagery</t>
  </si>
  <si>
    <t xml:space="preserve">Building/drain classification from authorities' own field photos; Street View is human viewing only</t>
  </si>
  <si>
    <t xml:space="preserve">Changed from the earlier plan; explain in the pitch</t>
  </si>
  <si>
    <t xml:space="preserve">Maps ToS §3.2.3(c)(vii)</t>
  </si>
  <si>
    <t xml:space="preserve">No Maps content to train/test/fine-tune AI</t>
  </si>
  <si>
    <t xml:space="preserve">No Maps content goes to Gemini</t>
  </si>
  <si>
    <t xml:space="preserve">Noncommercial registration and quota</t>
  </si>
  <si>
    <t xml:space="preserve">developers.google.com/earth-engine/guides/noncommercial_tiers</t>
  </si>
  <si>
    <t xml:space="preserve">Register as noncommercial research prototype; monitor EECU use</t>
  </si>
  <si>
    <t xml:space="preserve">Commercial use later needs a commercial EE plan</t>
  </si>
  <si>
    <t xml:space="preserve">Dataset licences</t>
  </si>
  <si>
    <t xml:space="preserve">CC-BY-NC (MERIT Hydro, GFD); CC-BY (Open Buildings); ODbL (OSM)</t>
  </si>
  <si>
    <t xml:space="preserve">Dataset pages</t>
  </si>
  <si>
    <t xml:space="preserve">Attributions on the Methods page and footer; non-commercial prototype</t>
  </si>
  <si>
    <t xml:space="preserve">Replace or licence before any commercial use</t>
  </si>
  <si>
    <t xml:space="preserve">Display requirements for grounded answers</t>
  </si>
  <si>
    <t xml:space="preserve">Gemini grounding terms</t>
  </si>
  <si>
    <t xml:space="preserve">Show sources and search attribution in the history panel</t>
  </si>
  <si>
    <t xml:space="preserve">VERIFY exact display requirements</t>
  </si>
  <si>
    <t xml:space="preserve">Safety framing</t>
  </si>
  <si>
    <t xml:space="preserve">Decision-support only, never prediction or an order</t>
  </si>
  <si>
    <t xml:space="preserve">Project decision</t>
  </si>
  <si>
    <t xml:space="preserve">Exact disclaimer on every results surface; wording rules</t>
  </si>
  <si>
    <t xml:space="preserve">Privacy</t>
  </si>
  <si>
    <t xml:space="preserve">No personal data; no inference about people</t>
  </si>
  <si>
    <t xml:space="preserve">Photos are of structures/drains only; avoid faces; classify structures, never people</t>
  </si>
  <si>
    <t xml:space="preserve">Demo photos must be the owner's own or openly licensed</t>
  </si>
  <si>
    <t xml:space="preserve">Day</t>
  </si>
  <si>
    <t xml:space="preserve">Stages</t>
  </si>
  <si>
    <t xml:space="preserve">Checkpoint</t>
  </si>
  <si>
    <t xml:space="preserve">Components planned</t>
  </si>
  <si>
    <t xml:space="preserve">Components done</t>
  </si>
  <si>
    <t xml:space="preserve">% done</t>
  </si>
  <si>
    <t xml:space="preserve">Wed 14 Oct</t>
  </si>
  <si>
    <t xml:space="preserve">S0, S1, S2, S3-M1</t>
  </si>
  <si>
    <t xml:space="preserve">Draw an AOI → layers prepared → flood depth from a stage slider on the Google map (deployed)</t>
  </si>
  <si>
    <t xml:space="preserve">Thu 15 Oct</t>
  </si>
  <si>
    <t xml:space="preserve">S3 M2–M4, S4, S5, S6</t>
  </si>
  <si>
    <t xml:space="preserve">Rain scenario → hourly flood + landslide susceptibility + exposure numbers</t>
  </si>
  <si>
    <t xml:space="preserve">Fri 16 Oct</t>
  </si>
  <si>
    <t xml:space="preserve">S7, S8, S9, S10, S16 Workspace</t>
  </si>
  <si>
    <t xml:space="preserve">Full what-if loop: close shelter / block road → reroute, capacity gap</t>
  </si>
  <si>
    <t xml:space="preserve">Sat 17 Oct</t>
  </si>
  <si>
    <t xml:space="preserve">S14, S15, S11, S12, S13, S16 pages, S17</t>
  </si>
  <si>
    <t xml:space="preserve">Advisory + chat + history + photo verify, deployed</t>
  </si>
  <si>
    <t xml:space="preserve">Sun 18 Oct</t>
  </si>
  <si>
    <t xml:space="preserve">S18 (+ S19 only if all green)</t>
  </si>
  <si>
    <t xml:space="preserve">Submitted by 12:00 IST</t>
  </si>
  <si>
    <t xml:space="preserve">Components</t>
  </si>
  <si>
    <t xml:space="preserve">Done</t>
  </si>
  <si>
    <t xml:space="preserve">In progress</t>
  </si>
  <si>
    <t xml:space="preserve">Blocked</t>
  </si>
  <si>
    <t xml:space="preserve">Total</t>
  </si>
  <si>
    <t xml:space="preserve">P0 components done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</si>
</sst>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1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1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1" t="s">
        <v>13</v>
      </c>
    </row>
    <row r="18" customFormat="false" ht="23.85" hidden="false" customHeight="false" outlineLevel="0" collapsed="false">
      <c r="A18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6"/>
    <col collapsed="false" customWidth="true" hidden="false" outlineLevel="0" max="3" min="3" style="0" width="26"/>
    <col collapsed="false" customWidth="true" hidden="false" outlineLevel="0" max="4" min="4" style="0" width="40"/>
    <col collapsed="false" customWidth="true" hidden="false" outlineLevel="0" max="5" min="5" style="0" width="26"/>
    <col collapsed="false" customWidth="true" hidden="false" outlineLevel="0" max="6" min="6" style="0" width="24"/>
    <col collapsed="false" customWidth="true" hidden="false" outlineLevel="0" max="7" min="7" style="0" width="26"/>
    <col collapsed="false" customWidth="true" hidden="false" outlineLevel="0" max="8" min="8" style="0" width="40"/>
    <col collapsed="false" customWidth="true" hidden="false" outlineLevel="0" max="9" min="9" style="0" width="24"/>
    <col collapsed="false" customWidth="true" hidden="false" outlineLevel="0" max="10" min="10" style="0" width="26"/>
    <col collapsed="false" customWidth="true" hidden="false" outlineLevel="0" max="11" min="11" style="0" width="20"/>
    <col collapsed="false" customWidth="true" hidden="false" outlineLevel="0" max="12" min="12" style="0" width="30"/>
    <col collapsed="false" customWidth="true" hidden="false" outlineLevel="0" max="13" min="13" style="0" width="8"/>
    <col collapsed="false" customWidth="true" hidden="false" outlineLevel="0" max="14" min="14" style="0" width="9"/>
    <col collapsed="false" customWidth="true" hidden="false" outlineLevel="0" max="15" min="15" style="0" width="14"/>
    <col collapsed="false" customWidth="true" hidden="false" outlineLevel="0" max="16" min="16" style="0" width="13"/>
  </cols>
  <sheetData>
    <row r="1" customFormat="false" ht="30" hidden="false" customHeight="true" outlineLevel="0" collapsed="false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3" t="s">
        <v>23</v>
      </c>
      <c r="J1" s="3" t="s">
        <v>24</v>
      </c>
      <c r="K1" s="3" t="s">
        <v>25</v>
      </c>
      <c r="L1" s="3" t="s">
        <v>26</v>
      </c>
      <c r="M1" s="3" t="s">
        <v>27</v>
      </c>
      <c r="N1" s="3" t="s">
        <v>28</v>
      </c>
      <c r="O1" s="3" t="s">
        <v>29</v>
      </c>
      <c r="P1" s="3" t="s">
        <v>30</v>
      </c>
    </row>
    <row r="2" customFormat="false" ht="23.85" hidden="false" customHeight="false" outlineLevel="0" collapsed="false">
      <c r="A2" s="4" t="s">
        <v>31</v>
      </c>
      <c r="B2" s="4" t="s">
        <v>32</v>
      </c>
      <c r="C2" s="4" t="s">
        <v>33</v>
      </c>
      <c r="D2" s="4" t="s">
        <v>34</v>
      </c>
      <c r="E2" s="4" t="s">
        <v>35</v>
      </c>
      <c r="F2" s="4" t="s">
        <v>36</v>
      </c>
      <c r="G2" s="4" t="s">
        <v>37</v>
      </c>
      <c r="H2" s="4" t="s">
        <v>38</v>
      </c>
      <c r="I2" s="4" t="s">
        <v>39</v>
      </c>
      <c r="J2" s="4" t="s">
        <v>40</v>
      </c>
      <c r="K2" s="4" t="s">
        <v>41</v>
      </c>
      <c r="L2" s="4" t="s">
        <v>42</v>
      </c>
      <c r="M2" s="4" t="s">
        <v>43</v>
      </c>
      <c r="N2" s="4" t="s">
        <v>44</v>
      </c>
      <c r="O2" s="4" t="s">
        <v>45</v>
      </c>
      <c r="P2" s="5" t="s">
        <v>46</v>
      </c>
    </row>
    <row r="3" customFormat="false" ht="23.85" hidden="false" customHeight="false" outlineLevel="0" collapsed="false">
      <c r="A3" s="4" t="s">
        <v>47</v>
      </c>
      <c r="B3" s="4" t="s">
        <v>32</v>
      </c>
      <c r="C3" s="4" t="s">
        <v>48</v>
      </c>
      <c r="D3" s="4" t="s">
        <v>49</v>
      </c>
      <c r="E3" s="4" t="s">
        <v>50</v>
      </c>
      <c r="F3" s="4" t="s">
        <v>51</v>
      </c>
      <c r="G3" s="4" t="s">
        <v>52</v>
      </c>
      <c r="H3" s="4" t="s">
        <v>53</v>
      </c>
      <c r="I3" s="4" t="s">
        <v>54</v>
      </c>
      <c r="J3" s="4" t="s">
        <v>55</v>
      </c>
      <c r="K3" s="4" t="s">
        <v>41</v>
      </c>
      <c r="L3" s="4" t="s">
        <v>42</v>
      </c>
      <c r="M3" s="4" t="s">
        <v>43</v>
      </c>
      <c r="N3" s="4" t="s">
        <v>44</v>
      </c>
      <c r="O3" s="4" t="s">
        <v>31</v>
      </c>
      <c r="P3" s="5" t="s">
        <v>46</v>
      </c>
    </row>
    <row r="4" customFormat="false" ht="23.85" hidden="false" customHeight="false" outlineLevel="0" collapsed="false">
      <c r="A4" s="4" t="s">
        <v>56</v>
      </c>
      <c r="B4" s="4" t="s">
        <v>32</v>
      </c>
      <c r="C4" s="4" t="s">
        <v>57</v>
      </c>
      <c r="D4" s="4" t="s">
        <v>58</v>
      </c>
      <c r="E4" s="4" t="s">
        <v>45</v>
      </c>
      <c r="F4" s="4" t="s">
        <v>59</v>
      </c>
      <c r="G4" s="4" t="s">
        <v>60</v>
      </c>
      <c r="H4" s="4" t="s">
        <v>61</v>
      </c>
      <c r="I4" s="4" t="s">
        <v>45</v>
      </c>
      <c r="J4" s="4" t="s">
        <v>45</v>
      </c>
      <c r="K4" s="4" t="s">
        <v>62</v>
      </c>
      <c r="L4" s="4" t="s">
        <v>63</v>
      </c>
      <c r="M4" s="4" t="s">
        <v>43</v>
      </c>
      <c r="N4" s="4" t="s">
        <v>44</v>
      </c>
      <c r="O4" s="4" t="s">
        <v>45</v>
      </c>
      <c r="P4" s="5" t="s">
        <v>46</v>
      </c>
    </row>
    <row r="5" customFormat="false" ht="15" hidden="false" customHeight="false" outlineLevel="0" collapsed="false">
      <c r="A5" s="4" t="s">
        <v>64</v>
      </c>
      <c r="B5" s="4" t="s">
        <v>32</v>
      </c>
      <c r="C5" s="4" t="s">
        <v>65</v>
      </c>
      <c r="D5" s="4" t="s">
        <v>66</v>
      </c>
      <c r="E5" s="4" t="s">
        <v>45</v>
      </c>
      <c r="F5" s="4" t="s">
        <v>67</v>
      </c>
      <c r="G5" s="4" t="s">
        <v>68</v>
      </c>
      <c r="H5" s="4" t="s">
        <v>69</v>
      </c>
      <c r="I5" s="4" t="s">
        <v>45</v>
      </c>
      <c r="J5" s="4" t="s">
        <v>45</v>
      </c>
      <c r="K5" s="4" t="s">
        <v>62</v>
      </c>
      <c r="L5" s="4" t="s">
        <v>42</v>
      </c>
      <c r="M5" s="4" t="s">
        <v>43</v>
      </c>
      <c r="N5" s="4" t="s">
        <v>44</v>
      </c>
      <c r="O5" s="4" t="s">
        <v>45</v>
      </c>
      <c r="P5" s="5" t="s">
        <v>46</v>
      </c>
    </row>
    <row r="6" customFormat="false" ht="23.85" hidden="false" customHeight="false" outlineLevel="0" collapsed="false">
      <c r="A6" s="4" t="s">
        <v>70</v>
      </c>
      <c r="B6" s="4" t="s">
        <v>32</v>
      </c>
      <c r="C6" s="4" t="s">
        <v>71</v>
      </c>
      <c r="D6" s="4" t="s">
        <v>72</v>
      </c>
      <c r="E6" s="4" t="s">
        <v>45</v>
      </c>
      <c r="F6" s="4" t="s">
        <v>73</v>
      </c>
      <c r="G6" s="4" t="s">
        <v>74</v>
      </c>
      <c r="H6" s="4" t="s">
        <v>75</v>
      </c>
      <c r="I6" s="4" t="s">
        <v>45</v>
      </c>
      <c r="J6" s="4" t="s">
        <v>45</v>
      </c>
      <c r="K6" s="4" t="s">
        <v>76</v>
      </c>
      <c r="L6" s="4" t="s">
        <v>42</v>
      </c>
      <c r="M6" s="4" t="s">
        <v>43</v>
      </c>
      <c r="N6" s="4" t="s">
        <v>44</v>
      </c>
      <c r="O6" s="4" t="s">
        <v>31</v>
      </c>
      <c r="P6" s="5" t="s">
        <v>46</v>
      </c>
    </row>
    <row r="7" customFormat="false" ht="15" hidden="false" customHeight="false" outlineLevel="0" collapsed="false">
      <c r="A7" s="4" t="s">
        <v>77</v>
      </c>
      <c r="B7" s="4" t="s">
        <v>78</v>
      </c>
      <c r="C7" s="4" t="s">
        <v>79</v>
      </c>
      <c r="D7" s="4" t="s">
        <v>80</v>
      </c>
      <c r="E7" s="4" t="s">
        <v>81</v>
      </c>
      <c r="F7" s="4" t="s">
        <v>82</v>
      </c>
      <c r="G7" s="4" t="s">
        <v>83</v>
      </c>
      <c r="H7" s="4" t="s">
        <v>84</v>
      </c>
      <c r="I7" s="4" t="s">
        <v>45</v>
      </c>
      <c r="J7" s="4" t="s">
        <v>45</v>
      </c>
      <c r="K7" s="4" t="s">
        <v>62</v>
      </c>
      <c r="L7" s="4" t="s">
        <v>42</v>
      </c>
      <c r="M7" s="4" t="s">
        <v>43</v>
      </c>
      <c r="N7" s="4" t="s">
        <v>44</v>
      </c>
      <c r="O7" s="4" t="s">
        <v>31</v>
      </c>
      <c r="P7" s="5" t="s">
        <v>46</v>
      </c>
    </row>
    <row r="8" customFormat="false" ht="15" hidden="false" customHeight="false" outlineLevel="0" collapsed="false">
      <c r="A8" s="4" t="s">
        <v>85</v>
      </c>
      <c r="B8" s="4" t="s">
        <v>78</v>
      </c>
      <c r="C8" s="4" t="s">
        <v>86</v>
      </c>
      <c r="D8" s="4" t="s">
        <v>87</v>
      </c>
      <c r="E8" s="4" t="s">
        <v>88</v>
      </c>
      <c r="F8" s="4" t="s">
        <v>89</v>
      </c>
      <c r="G8" s="4" t="s">
        <v>90</v>
      </c>
      <c r="H8" s="4" t="s">
        <v>91</v>
      </c>
      <c r="I8" s="4" t="s">
        <v>92</v>
      </c>
      <c r="J8" s="4" t="s">
        <v>93</v>
      </c>
      <c r="K8" s="4" t="s">
        <v>62</v>
      </c>
      <c r="L8" s="4" t="s">
        <v>42</v>
      </c>
      <c r="M8" s="4" t="s">
        <v>43</v>
      </c>
      <c r="N8" s="4" t="s">
        <v>44</v>
      </c>
      <c r="O8" s="4" t="s">
        <v>77</v>
      </c>
      <c r="P8" s="5" t="s">
        <v>46</v>
      </c>
    </row>
    <row r="9" customFormat="false" ht="35.05" hidden="false" customHeight="false" outlineLevel="0" collapsed="false">
      <c r="A9" s="4" t="s">
        <v>94</v>
      </c>
      <c r="B9" s="4" t="s">
        <v>78</v>
      </c>
      <c r="C9" s="4" t="s">
        <v>95</v>
      </c>
      <c r="D9" s="4" t="s">
        <v>96</v>
      </c>
      <c r="E9" s="4" t="s">
        <v>97</v>
      </c>
      <c r="F9" s="4" t="s">
        <v>98</v>
      </c>
      <c r="G9" s="4" t="s">
        <v>99</v>
      </c>
      <c r="H9" s="4" t="s">
        <v>100</v>
      </c>
      <c r="I9" s="4" t="s">
        <v>101</v>
      </c>
      <c r="J9" s="4" t="s">
        <v>93</v>
      </c>
      <c r="K9" s="4" t="s">
        <v>62</v>
      </c>
      <c r="L9" s="4" t="s">
        <v>102</v>
      </c>
      <c r="M9" s="4" t="s">
        <v>43</v>
      </c>
      <c r="N9" s="4" t="s">
        <v>44</v>
      </c>
      <c r="O9" s="4" t="s">
        <v>85</v>
      </c>
      <c r="P9" s="5" t="s">
        <v>46</v>
      </c>
    </row>
    <row r="10" customFormat="false" ht="23.85" hidden="false" customHeight="false" outlineLevel="0" collapsed="false">
      <c r="A10" s="4" t="s">
        <v>103</v>
      </c>
      <c r="B10" s="4" t="s">
        <v>78</v>
      </c>
      <c r="C10" s="4" t="s">
        <v>104</v>
      </c>
      <c r="D10" s="4" t="s">
        <v>105</v>
      </c>
      <c r="E10" s="4" t="s">
        <v>97</v>
      </c>
      <c r="F10" s="4" t="s">
        <v>106</v>
      </c>
      <c r="G10" s="4" t="s">
        <v>99</v>
      </c>
      <c r="H10" s="4" t="s">
        <v>107</v>
      </c>
      <c r="I10" s="4" t="s">
        <v>45</v>
      </c>
      <c r="J10" s="4" t="s">
        <v>45</v>
      </c>
      <c r="K10" s="4" t="s">
        <v>62</v>
      </c>
      <c r="L10" s="4" t="s">
        <v>42</v>
      </c>
      <c r="M10" s="4" t="s">
        <v>43</v>
      </c>
      <c r="N10" s="4" t="s">
        <v>44</v>
      </c>
      <c r="O10" s="4" t="s">
        <v>85</v>
      </c>
      <c r="P10" s="5" t="s">
        <v>46</v>
      </c>
    </row>
    <row r="11" customFormat="false" ht="15" hidden="false" customHeight="false" outlineLevel="0" collapsed="false">
      <c r="A11" s="4" t="s">
        <v>108</v>
      </c>
      <c r="B11" s="4" t="s">
        <v>78</v>
      </c>
      <c r="C11" s="4" t="s">
        <v>109</v>
      </c>
      <c r="D11" s="4" t="s">
        <v>110</v>
      </c>
      <c r="E11" s="4" t="s">
        <v>111</v>
      </c>
      <c r="F11" s="4" t="s">
        <v>112</v>
      </c>
      <c r="G11" s="4" t="s">
        <v>99</v>
      </c>
      <c r="H11" s="4" t="s">
        <v>113</v>
      </c>
      <c r="I11" s="4" t="s">
        <v>45</v>
      </c>
      <c r="J11" s="4" t="s">
        <v>45</v>
      </c>
      <c r="K11" s="4" t="s">
        <v>62</v>
      </c>
      <c r="L11" s="4" t="s">
        <v>42</v>
      </c>
      <c r="M11" s="4" t="s">
        <v>43</v>
      </c>
      <c r="N11" s="4" t="s">
        <v>44</v>
      </c>
      <c r="O11" s="4" t="s">
        <v>85</v>
      </c>
      <c r="P11" s="5" t="s">
        <v>46</v>
      </c>
    </row>
    <row r="12" customFormat="false" ht="15" hidden="false" customHeight="false" outlineLevel="0" collapsed="false">
      <c r="A12" s="4" t="s">
        <v>114</v>
      </c>
      <c r="B12" s="4" t="s">
        <v>78</v>
      </c>
      <c r="C12" s="4" t="s">
        <v>115</v>
      </c>
      <c r="D12" s="4" t="s">
        <v>116</v>
      </c>
      <c r="E12" s="4" t="s">
        <v>111</v>
      </c>
      <c r="F12" s="4" t="s">
        <v>117</v>
      </c>
      <c r="G12" s="4" t="s">
        <v>99</v>
      </c>
      <c r="H12" s="4" t="s">
        <v>118</v>
      </c>
      <c r="I12" s="4" t="s">
        <v>45</v>
      </c>
      <c r="J12" s="4" t="s">
        <v>45</v>
      </c>
      <c r="K12" s="4" t="s">
        <v>62</v>
      </c>
      <c r="L12" s="4" t="s">
        <v>42</v>
      </c>
      <c r="M12" s="4" t="s">
        <v>119</v>
      </c>
      <c r="N12" s="4" t="s">
        <v>44</v>
      </c>
      <c r="O12" s="4" t="s">
        <v>85</v>
      </c>
      <c r="P12" s="5" t="s">
        <v>46</v>
      </c>
    </row>
    <row r="13" customFormat="false" ht="15" hidden="false" customHeight="false" outlineLevel="0" collapsed="false">
      <c r="A13" s="4" t="s">
        <v>120</v>
      </c>
      <c r="B13" s="4" t="s">
        <v>78</v>
      </c>
      <c r="C13" s="4" t="s">
        <v>121</v>
      </c>
      <c r="D13" s="4" t="s">
        <v>122</v>
      </c>
      <c r="E13" s="4" t="s">
        <v>111</v>
      </c>
      <c r="F13" s="4" t="s">
        <v>123</v>
      </c>
      <c r="G13" s="4" t="s">
        <v>99</v>
      </c>
      <c r="H13" s="4" t="s">
        <v>124</v>
      </c>
      <c r="I13" s="4" t="s">
        <v>45</v>
      </c>
      <c r="J13" s="4" t="s">
        <v>45</v>
      </c>
      <c r="K13" s="4" t="s">
        <v>62</v>
      </c>
      <c r="L13" s="4" t="s">
        <v>42</v>
      </c>
      <c r="M13" s="4" t="s">
        <v>119</v>
      </c>
      <c r="N13" s="4" t="s">
        <v>44</v>
      </c>
      <c r="O13" s="4" t="s">
        <v>85</v>
      </c>
      <c r="P13" s="5" t="s">
        <v>46</v>
      </c>
    </row>
    <row r="14" customFormat="false" ht="15" hidden="false" customHeight="false" outlineLevel="0" collapsed="false">
      <c r="A14" s="4" t="s">
        <v>125</v>
      </c>
      <c r="B14" s="4" t="s">
        <v>78</v>
      </c>
      <c r="C14" s="4" t="s">
        <v>126</v>
      </c>
      <c r="D14" s="4" t="s">
        <v>127</v>
      </c>
      <c r="E14" s="4" t="s">
        <v>111</v>
      </c>
      <c r="F14" s="4" t="s">
        <v>128</v>
      </c>
      <c r="G14" s="4" t="s">
        <v>99</v>
      </c>
      <c r="H14" s="4" t="s">
        <v>129</v>
      </c>
      <c r="I14" s="4" t="s">
        <v>45</v>
      </c>
      <c r="J14" s="4" t="s">
        <v>45</v>
      </c>
      <c r="K14" s="4" t="s">
        <v>62</v>
      </c>
      <c r="L14" s="4" t="s">
        <v>42</v>
      </c>
      <c r="M14" s="4" t="s">
        <v>119</v>
      </c>
      <c r="N14" s="4" t="s">
        <v>44</v>
      </c>
      <c r="O14" s="4" t="s">
        <v>85</v>
      </c>
      <c r="P14" s="5" t="s">
        <v>46</v>
      </c>
    </row>
    <row r="15" customFormat="false" ht="23.85" hidden="false" customHeight="false" outlineLevel="0" collapsed="false">
      <c r="A15" s="4" t="s">
        <v>130</v>
      </c>
      <c r="B15" s="4" t="s">
        <v>78</v>
      </c>
      <c r="C15" s="4" t="s">
        <v>131</v>
      </c>
      <c r="D15" s="4" t="s">
        <v>132</v>
      </c>
      <c r="E15" s="4" t="s">
        <v>111</v>
      </c>
      <c r="F15" s="4" t="s">
        <v>133</v>
      </c>
      <c r="G15" s="4" t="s">
        <v>99</v>
      </c>
      <c r="H15" s="4" t="s">
        <v>134</v>
      </c>
      <c r="I15" s="4" t="s">
        <v>45</v>
      </c>
      <c r="J15" s="4" t="s">
        <v>45</v>
      </c>
      <c r="K15" s="4" t="s">
        <v>62</v>
      </c>
      <c r="L15" s="4" t="s">
        <v>42</v>
      </c>
      <c r="M15" s="4" t="s">
        <v>119</v>
      </c>
      <c r="N15" s="4" t="s">
        <v>44</v>
      </c>
      <c r="O15" s="4" t="s">
        <v>85</v>
      </c>
      <c r="P15" s="5" t="s">
        <v>46</v>
      </c>
    </row>
    <row r="16" customFormat="false" ht="23.85" hidden="false" customHeight="false" outlineLevel="0" collapsed="false">
      <c r="A16" s="4" t="s">
        <v>135</v>
      </c>
      <c r="B16" s="4" t="s">
        <v>78</v>
      </c>
      <c r="C16" s="4" t="s">
        <v>136</v>
      </c>
      <c r="D16" s="4" t="s">
        <v>137</v>
      </c>
      <c r="E16" s="4" t="s">
        <v>111</v>
      </c>
      <c r="F16" s="4" t="s">
        <v>138</v>
      </c>
      <c r="G16" s="4" t="s">
        <v>99</v>
      </c>
      <c r="H16" s="4" t="s">
        <v>139</v>
      </c>
      <c r="I16" s="4" t="s">
        <v>45</v>
      </c>
      <c r="J16" s="4" t="s">
        <v>45</v>
      </c>
      <c r="K16" s="4" t="s">
        <v>62</v>
      </c>
      <c r="L16" s="4" t="s">
        <v>42</v>
      </c>
      <c r="M16" s="4" t="s">
        <v>43</v>
      </c>
      <c r="N16" s="4" t="s">
        <v>44</v>
      </c>
      <c r="O16" s="4" t="s">
        <v>85</v>
      </c>
      <c r="P16" s="5" t="s">
        <v>46</v>
      </c>
    </row>
    <row r="17" customFormat="false" ht="23.85" hidden="false" customHeight="false" outlineLevel="0" collapsed="false">
      <c r="A17" s="4" t="s">
        <v>140</v>
      </c>
      <c r="B17" s="4" t="s">
        <v>78</v>
      </c>
      <c r="C17" s="4" t="s">
        <v>141</v>
      </c>
      <c r="D17" s="4" t="s">
        <v>142</v>
      </c>
      <c r="E17" s="4" t="s">
        <v>111</v>
      </c>
      <c r="F17" s="4" t="s">
        <v>143</v>
      </c>
      <c r="G17" s="4" t="s">
        <v>99</v>
      </c>
      <c r="H17" s="4" t="s">
        <v>144</v>
      </c>
      <c r="I17" s="4" t="s">
        <v>145</v>
      </c>
      <c r="J17" s="4" t="s">
        <v>93</v>
      </c>
      <c r="K17" s="4" t="s">
        <v>62</v>
      </c>
      <c r="L17" s="4" t="s">
        <v>146</v>
      </c>
      <c r="M17" s="4" t="s">
        <v>43</v>
      </c>
      <c r="N17" s="4" t="s">
        <v>44</v>
      </c>
      <c r="O17" s="4" t="s">
        <v>85</v>
      </c>
      <c r="P17" s="5" t="s">
        <v>46</v>
      </c>
    </row>
    <row r="18" customFormat="false" ht="35.05" hidden="false" customHeight="false" outlineLevel="0" collapsed="false">
      <c r="A18" s="4" t="s">
        <v>147</v>
      </c>
      <c r="B18" s="4" t="s">
        <v>78</v>
      </c>
      <c r="C18" s="4" t="s">
        <v>148</v>
      </c>
      <c r="D18" s="4" t="s">
        <v>149</v>
      </c>
      <c r="E18" s="4" t="s">
        <v>150</v>
      </c>
      <c r="F18" s="4" t="s">
        <v>151</v>
      </c>
      <c r="G18" s="4" t="s">
        <v>152</v>
      </c>
      <c r="H18" s="4" t="s">
        <v>45</v>
      </c>
      <c r="I18" s="4" t="s">
        <v>153</v>
      </c>
      <c r="J18" s="4" t="s">
        <v>154</v>
      </c>
      <c r="K18" s="4" t="s">
        <v>155</v>
      </c>
      <c r="L18" s="4" t="s">
        <v>156</v>
      </c>
      <c r="M18" s="4" t="s">
        <v>43</v>
      </c>
      <c r="N18" s="4" t="s">
        <v>44</v>
      </c>
      <c r="O18" s="4" t="s">
        <v>77</v>
      </c>
      <c r="P18" s="5" t="s">
        <v>46</v>
      </c>
    </row>
    <row r="19" customFormat="false" ht="15" hidden="false" customHeight="false" outlineLevel="0" collapsed="false">
      <c r="A19" s="4" t="s">
        <v>157</v>
      </c>
      <c r="B19" s="4" t="s">
        <v>78</v>
      </c>
      <c r="C19" s="4" t="s">
        <v>158</v>
      </c>
      <c r="D19" s="4" t="s">
        <v>159</v>
      </c>
      <c r="E19" s="4" t="s">
        <v>160</v>
      </c>
      <c r="F19" s="4" t="s">
        <v>161</v>
      </c>
      <c r="G19" s="4" t="s">
        <v>162</v>
      </c>
      <c r="H19" s="4" t="s">
        <v>163</v>
      </c>
      <c r="I19" s="4" t="s">
        <v>45</v>
      </c>
      <c r="J19" s="4" t="s">
        <v>45</v>
      </c>
      <c r="K19" s="4" t="s">
        <v>62</v>
      </c>
      <c r="L19" s="4" t="s">
        <v>42</v>
      </c>
      <c r="M19" s="4" t="s">
        <v>43</v>
      </c>
      <c r="N19" s="4" t="s">
        <v>44</v>
      </c>
      <c r="O19" s="4" t="s">
        <v>164</v>
      </c>
      <c r="P19" s="5" t="s">
        <v>46</v>
      </c>
    </row>
    <row r="20" customFormat="false" ht="23.85" hidden="false" customHeight="false" outlineLevel="0" collapsed="false">
      <c r="A20" s="4" t="s">
        <v>165</v>
      </c>
      <c r="B20" s="4" t="s">
        <v>78</v>
      </c>
      <c r="C20" s="4" t="s">
        <v>166</v>
      </c>
      <c r="D20" s="4" t="s">
        <v>167</v>
      </c>
      <c r="E20" s="4" t="s">
        <v>168</v>
      </c>
      <c r="F20" s="4" t="s">
        <v>169</v>
      </c>
      <c r="G20" s="4" t="s">
        <v>170</v>
      </c>
      <c r="H20" s="4" t="s">
        <v>171</v>
      </c>
      <c r="I20" s="4" t="s">
        <v>172</v>
      </c>
      <c r="J20" s="4" t="s">
        <v>93</v>
      </c>
      <c r="K20" s="4" t="s">
        <v>62</v>
      </c>
      <c r="L20" s="4" t="s">
        <v>173</v>
      </c>
      <c r="M20" s="4" t="s">
        <v>43</v>
      </c>
      <c r="N20" s="4" t="s">
        <v>44</v>
      </c>
      <c r="O20" s="4" t="s">
        <v>157</v>
      </c>
      <c r="P20" s="5" t="s">
        <v>46</v>
      </c>
    </row>
    <row r="21" customFormat="false" ht="23.85" hidden="false" customHeight="false" outlineLevel="0" collapsed="false">
      <c r="A21" s="4" t="s">
        <v>174</v>
      </c>
      <c r="B21" s="4" t="s">
        <v>175</v>
      </c>
      <c r="C21" s="4" t="s">
        <v>176</v>
      </c>
      <c r="D21" s="4" t="s">
        <v>177</v>
      </c>
      <c r="E21" s="4" t="s">
        <v>178</v>
      </c>
      <c r="F21" s="4" t="s">
        <v>179</v>
      </c>
      <c r="G21" s="4" t="s">
        <v>99</v>
      </c>
      <c r="H21" s="4" t="s">
        <v>180</v>
      </c>
      <c r="I21" s="4" t="s">
        <v>101</v>
      </c>
      <c r="J21" s="4" t="s">
        <v>93</v>
      </c>
      <c r="K21" s="4" t="s">
        <v>62</v>
      </c>
      <c r="L21" s="4" t="s">
        <v>42</v>
      </c>
      <c r="M21" s="4" t="s">
        <v>43</v>
      </c>
      <c r="N21" s="4" t="s">
        <v>44</v>
      </c>
      <c r="O21" s="4" t="s">
        <v>103</v>
      </c>
      <c r="P21" s="5" t="s">
        <v>46</v>
      </c>
    </row>
    <row r="22" customFormat="false" ht="15" hidden="false" customHeight="false" outlineLevel="0" collapsed="false">
      <c r="A22" s="4" t="s">
        <v>181</v>
      </c>
      <c r="B22" s="4" t="s">
        <v>175</v>
      </c>
      <c r="C22" s="4" t="s">
        <v>182</v>
      </c>
      <c r="D22" s="4" t="s">
        <v>183</v>
      </c>
      <c r="E22" s="4" t="s">
        <v>184</v>
      </c>
      <c r="F22" s="4" t="s">
        <v>185</v>
      </c>
      <c r="G22" s="4" t="s">
        <v>90</v>
      </c>
      <c r="H22" s="4" t="s">
        <v>186</v>
      </c>
      <c r="I22" s="4" t="s">
        <v>101</v>
      </c>
      <c r="J22" s="4" t="s">
        <v>93</v>
      </c>
      <c r="K22" s="4" t="s">
        <v>62</v>
      </c>
      <c r="L22" s="4" t="s">
        <v>42</v>
      </c>
      <c r="M22" s="4" t="s">
        <v>43</v>
      </c>
      <c r="N22" s="4" t="s">
        <v>44</v>
      </c>
      <c r="O22" s="4" t="s">
        <v>174</v>
      </c>
      <c r="P22" s="5" t="s">
        <v>46</v>
      </c>
    </row>
    <row r="23" customFormat="false" ht="23.85" hidden="false" customHeight="false" outlineLevel="0" collapsed="false">
      <c r="A23" s="4" t="s">
        <v>187</v>
      </c>
      <c r="B23" s="4" t="s">
        <v>175</v>
      </c>
      <c r="C23" s="4" t="s">
        <v>188</v>
      </c>
      <c r="D23" s="4" t="s">
        <v>189</v>
      </c>
      <c r="E23" s="4" t="s">
        <v>190</v>
      </c>
      <c r="F23" s="4" t="s">
        <v>191</v>
      </c>
      <c r="G23" s="4" t="s">
        <v>90</v>
      </c>
      <c r="H23" s="4" t="s">
        <v>186</v>
      </c>
      <c r="I23" s="4" t="s">
        <v>101</v>
      </c>
      <c r="J23" s="4" t="s">
        <v>93</v>
      </c>
      <c r="K23" s="4" t="s">
        <v>62</v>
      </c>
      <c r="L23" s="4" t="s">
        <v>42</v>
      </c>
      <c r="M23" s="4" t="s">
        <v>43</v>
      </c>
      <c r="N23" s="4" t="s">
        <v>192</v>
      </c>
      <c r="O23" s="4" t="s">
        <v>181</v>
      </c>
      <c r="P23" s="5" t="s">
        <v>46</v>
      </c>
    </row>
    <row r="24" customFormat="false" ht="15" hidden="false" customHeight="false" outlineLevel="0" collapsed="false">
      <c r="A24" s="4" t="s">
        <v>193</v>
      </c>
      <c r="B24" s="4" t="s">
        <v>175</v>
      </c>
      <c r="C24" s="4" t="s">
        <v>194</v>
      </c>
      <c r="D24" s="4" t="s">
        <v>195</v>
      </c>
      <c r="E24" s="4" t="s">
        <v>196</v>
      </c>
      <c r="F24" s="4" t="s">
        <v>197</v>
      </c>
      <c r="G24" s="4" t="s">
        <v>90</v>
      </c>
      <c r="H24" s="4" t="s">
        <v>186</v>
      </c>
      <c r="I24" s="4" t="s">
        <v>101</v>
      </c>
      <c r="J24" s="4" t="s">
        <v>93</v>
      </c>
      <c r="K24" s="4" t="s">
        <v>62</v>
      </c>
      <c r="L24" s="4" t="s">
        <v>42</v>
      </c>
      <c r="M24" s="4" t="s">
        <v>43</v>
      </c>
      <c r="N24" s="4" t="s">
        <v>192</v>
      </c>
      <c r="O24" s="4" t="s">
        <v>187</v>
      </c>
      <c r="P24" s="5" t="s">
        <v>46</v>
      </c>
    </row>
    <row r="25" customFormat="false" ht="15" hidden="false" customHeight="false" outlineLevel="0" collapsed="false">
      <c r="A25" s="4" t="s">
        <v>198</v>
      </c>
      <c r="B25" s="4" t="s">
        <v>175</v>
      </c>
      <c r="C25" s="4" t="s">
        <v>199</v>
      </c>
      <c r="D25" s="4" t="s">
        <v>200</v>
      </c>
      <c r="E25" s="4" t="s">
        <v>201</v>
      </c>
      <c r="F25" s="4" t="s">
        <v>202</v>
      </c>
      <c r="G25" s="4" t="s">
        <v>90</v>
      </c>
      <c r="H25" s="4" t="s">
        <v>186</v>
      </c>
      <c r="I25" s="4" t="s">
        <v>45</v>
      </c>
      <c r="J25" s="4" t="s">
        <v>45</v>
      </c>
      <c r="K25" s="4" t="s">
        <v>62</v>
      </c>
      <c r="L25" s="4" t="s">
        <v>42</v>
      </c>
      <c r="M25" s="4" t="s">
        <v>119</v>
      </c>
      <c r="N25" s="4" t="s">
        <v>192</v>
      </c>
      <c r="O25" s="4" t="s">
        <v>187</v>
      </c>
      <c r="P25" s="5" t="s">
        <v>46</v>
      </c>
    </row>
    <row r="26" customFormat="false" ht="23.85" hidden="false" customHeight="false" outlineLevel="0" collapsed="false">
      <c r="A26" s="4" t="s">
        <v>203</v>
      </c>
      <c r="B26" s="4" t="s">
        <v>204</v>
      </c>
      <c r="C26" s="4" t="s">
        <v>205</v>
      </c>
      <c r="D26" s="4" t="s">
        <v>206</v>
      </c>
      <c r="E26" s="4" t="s">
        <v>207</v>
      </c>
      <c r="F26" s="4" t="s">
        <v>208</v>
      </c>
      <c r="G26" s="4" t="s">
        <v>90</v>
      </c>
      <c r="H26" s="4" t="s">
        <v>209</v>
      </c>
      <c r="I26" s="4" t="s">
        <v>45</v>
      </c>
      <c r="J26" s="4" t="s">
        <v>45</v>
      </c>
      <c r="K26" s="4" t="s">
        <v>62</v>
      </c>
      <c r="L26" s="4" t="s">
        <v>42</v>
      </c>
      <c r="M26" s="4" t="s">
        <v>43</v>
      </c>
      <c r="N26" s="4" t="s">
        <v>44</v>
      </c>
      <c r="O26" s="4" t="s">
        <v>103</v>
      </c>
      <c r="P26" s="5" t="s">
        <v>46</v>
      </c>
    </row>
    <row r="27" customFormat="false" ht="15" hidden="false" customHeight="false" outlineLevel="0" collapsed="false">
      <c r="A27" s="4" t="s">
        <v>210</v>
      </c>
      <c r="B27" s="4" t="s">
        <v>204</v>
      </c>
      <c r="C27" s="4" t="s">
        <v>211</v>
      </c>
      <c r="D27" s="4" t="s">
        <v>212</v>
      </c>
      <c r="E27" s="4" t="s">
        <v>213</v>
      </c>
      <c r="F27" s="4" t="s">
        <v>214</v>
      </c>
      <c r="G27" s="4" t="s">
        <v>90</v>
      </c>
      <c r="H27" s="4" t="s">
        <v>215</v>
      </c>
      <c r="I27" s="4" t="s">
        <v>45</v>
      </c>
      <c r="J27" s="4" t="s">
        <v>45</v>
      </c>
      <c r="K27" s="4" t="s">
        <v>62</v>
      </c>
      <c r="L27" s="4" t="s">
        <v>42</v>
      </c>
      <c r="M27" s="4" t="s">
        <v>43</v>
      </c>
      <c r="N27" s="4" t="s">
        <v>192</v>
      </c>
      <c r="O27" s="4" t="s">
        <v>108</v>
      </c>
      <c r="P27" s="5" t="s">
        <v>46</v>
      </c>
    </row>
    <row r="28" customFormat="false" ht="15" hidden="false" customHeight="false" outlineLevel="0" collapsed="false">
      <c r="A28" s="4" t="s">
        <v>216</v>
      </c>
      <c r="B28" s="4" t="s">
        <v>204</v>
      </c>
      <c r="C28" s="4" t="s">
        <v>217</v>
      </c>
      <c r="D28" s="4" t="s">
        <v>218</v>
      </c>
      <c r="E28" s="4" t="s">
        <v>219</v>
      </c>
      <c r="F28" s="4" t="s">
        <v>220</v>
      </c>
      <c r="G28" s="4" t="s">
        <v>90</v>
      </c>
      <c r="H28" s="4" t="s">
        <v>215</v>
      </c>
      <c r="I28" s="4" t="s">
        <v>45</v>
      </c>
      <c r="J28" s="4" t="s">
        <v>45</v>
      </c>
      <c r="K28" s="4" t="s">
        <v>62</v>
      </c>
      <c r="L28" s="4" t="s">
        <v>42</v>
      </c>
      <c r="M28" s="4" t="s">
        <v>43</v>
      </c>
      <c r="N28" s="4" t="s">
        <v>192</v>
      </c>
      <c r="O28" s="4" t="s">
        <v>221</v>
      </c>
      <c r="P28" s="5" t="s">
        <v>46</v>
      </c>
    </row>
    <row r="29" customFormat="false" ht="15" hidden="false" customHeight="false" outlineLevel="0" collapsed="false">
      <c r="A29" s="4" t="s">
        <v>222</v>
      </c>
      <c r="B29" s="4" t="s">
        <v>204</v>
      </c>
      <c r="C29" s="4" t="s">
        <v>223</v>
      </c>
      <c r="D29" s="4" t="s">
        <v>224</v>
      </c>
      <c r="E29" s="4" t="s">
        <v>225</v>
      </c>
      <c r="F29" s="4" t="s">
        <v>226</v>
      </c>
      <c r="G29" s="4" t="s">
        <v>90</v>
      </c>
      <c r="H29" s="4" t="s">
        <v>215</v>
      </c>
      <c r="I29" s="4" t="s">
        <v>45</v>
      </c>
      <c r="J29" s="4" t="s">
        <v>45</v>
      </c>
      <c r="K29" s="4" t="s">
        <v>62</v>
      </c>
      <c r="L29" s="4" t="s">
        <v>42</v>
      </c>
      <c r="M29" s="4" t="s">
        <v>43</v>
      </c>
      <c r="N29" s="4" t="s">
        <v>192</v>
      </c>
      <c r="O29" s="4" t="s">
        <v>187</v>
      </c>
      <c r="P29" s="5" t="s">
        <v>46</v>
      </c>
    </row>
    <row r="30" customFormat="false" ht="23.85" hidden="false" customHeight="false" outlineLevel="0" collapsed="false">
      <c r="A30" s="4" t="s">
        <v>227</v>
      </c>
      <c r="B30" s="4" t="s">
        <v>204</v>
      </c>
      <c r="C30" s="4" t="s">
        <v>228</v>
      </c>
      <c r="D30" s="4" t="s">
        <v>229</v>
      </c>
      <c r="E30" s="4" t="s">
        <v>230</v>
      </c>
      <c r="F30" s="4" t="s">
        <v>231</v>
      </c>
      <c r="G30" s="4" t="s">
        <v>232</v>
      </c>
      <c r="H30" s="4" t="s">
        <v>233</v>
      </c>
      <c r="I30" s="4" t="s">
        <v>45</v>
      </c>
      <c r="J30" s="4" t="s">
        <v>45</v>
      </c>
      <c r="K30" s="4" t="s">
        <v>62</v>
      </c>
      <c r="L30" s="4" t="s">
        <v>42</v>
      </c>
      <c r="M30" s="4" t="s">
        <v>43</v>
      </c>
      <c r="N30" s="4" t="s">
        <v>192</v>
      </c>
      <c r="O30" s="4" t="s">
        <v>234</v>
      </c>
      <c r="P30" s="5" t="s">
        <v>46</v>
      </c>
    </row>
    <row r="31" customFormat="false" ht="15" hidden="false" customHeight="false" outlineLevel="0" collapsed="false">
      <c r="A31" s="4" t="s">
        <v>235</v>
      </c>
      <c r="B31" s="4" t="s">
        <v>236</v>
      </c>
      <c r="C31" s="4" t="s">
        <v>237</v>
      </c>
      <c r="D31" s="4" t="s">
        <v>238</v>
      </c>
      <c r="E31" s="4" t="s">
        <v>239</v>
      </c>
      <c r="F31" s="4" t="s">
        <v>240</v>
      </c>
      <c r="G31" s="4" t="s">
        <v>90</v>
      </c>
      <c r="H31" s="4" t="s">
        <v>241</v>
      </c>
      <c r="I31" s="4" t="s">
        <v>101</v>
      </c>
      <c r="J31" s="4" t="s">
        <v>93</v>
      </c>
      <c r="K31" s="4" t="s">
        <v>62</v>
      </c>
      <c r="L31" s="4" t="s">
        <v>42</v>
      </c>
      <c r="M31" s="4" t="s">
        <v>119</v>
      </c>
      <c r="N31" s="4" t="s">
        <v>192</v>
      </c>
      <c r="O31" s="4" t="s">
        <v>45</v>
      </c>
      <c r="P31" s="5" t="s">
        <v>46</v>
      </c>
    </row>
    <row r="32" customFormat="false" ht="23.85" hidden="false" customHeight="false" outlineLevel="0" collapsed="false">
      <c r="A32" s="4" t="s">
        <v>242</v>
      </c>
      <c r="B32" s="4" t="s">
        <v>236</v>
      </c>
      <c r="C32" s="4" t="s">
        <v>243</v>
      </c>
      <c r="D32" s="4" t="s">
        <v>244</v>
      </c>
      <c r="E32" s="4" t="s">
        <v>245</v>
      </c>
      <c r="F32" s="4" t="s">
        <v>246</v>
      </c>
      <c r="G32" s="4" t="s">
        <v>90</v>
      </c>
      <c r="H32" s="4" t="s">
        <v>247</v>
      </c>
      <c r="I32" s="4" t="s">
        <v>45</v>
      </c>
      <c r="J32" s="4" t="s">
        <v>45</v>
      </c>
      <c r="K32" s="4" t="s">
        <v>62</v>
      </c>
      <c r="L32" s="4" t="s">
        <v>42</v>
      </c>
      <c r="M32" s="4" t="s">
        <v>119</v>
      </c>
      <c r="N32" s="4" t="s">
        <v>192</v>
      </c>
      <c r="O32" s="4" t="s">
        <v>248</v>
      </c>
      <c r="P32" s="5" t="s">
        <v>46</v>
      </c>
    </row>
    <row r="33" customFormat="false" ht="23.85" hidden="false" customHeight="false" outlineLevel="0" collapsed="false">
      <c r="A33" s="4" t="s">
        <v>249</v>
      </c>
      <c r="B33" s="4" t="s">
        <v>250</v>
      </c>
      <c r="C33" s="4" t="s">
        <v>251</v>
      </c>
      <c r="D33" s="4" t="s">
        <v>252</v>
      </c>
      <c r="E33" s="4" t="s">
        <v>160</v>
      </c>
      <c r="F33" s="4" t="s">
        <v>253</v>
      </c>
      <c r="G33" s="4" t="s">
        <v>90</v>
      </c>
      <c r="H33" s="4" t="s">
        <v>254</v>
      </c>
      <c r="I33" s="4" t="s">
        <v>45</v>
      </c>
      <c r="J33" s="4" t="s">
        <v>45</v>
      </c>
      <c r="K33" s="4" t="s">
        <v>62</v>
      </c>
      <c r="L33" s="4" t="s">
        <v>42</v>
      </c>
      <c r="M33" s="4" t="s">
        <v>119</v>
      </c>
      <c r="N33" s="4" t="s">
        <v>192</v>
      </c>
      <c r="O33" s="4" t="s">
        <v>255</v>
      </c>
      <c r="P33" s="5" t="s">
        <v>46</v>
      </c>
    </row>
    <row r="34" customFormat="false" ht="35.05" hidden="false" customHeight="false" outlineLevel="0" collapsed="false">
      <c r="A34" s="4" t="s">
        <v>256</v>
      </c>
      <c r="B34" s="4" t="s">
        <v>250</v>
      </c>
      <c r="C34" s="4" t="s">
        <v>257</v>
      </c>
      <c r="D34" s="4" t="s">
        <v>258</v>
      </c>
      <c r="E34" s="4" t="s">
        <v>259</v>
      </c>
      <c r="F34" s="4" t="s">
        <v>260</v>
      </c>
      <c r="G34" s="4" t="s">
        <v>99</v>
      </c>
      <c r="H34" s="4" t="s">
        <v>261</v>
      </c>
      <c r="I34" s="4" t="s">
        <v>262</v>
      </c>
      <c r="J34" s="4" t="s">
        <v>263</v>
      </c>
      <c r="K34" s="4" t="s">
        <v>62</v>
      </c>
      <c r="L34" s="4" t="s">
        <v>42</v>
      </c>
      <c r="M34" s="4" t="s">
        <v>119</v>
      </c>
      <c r="N34" s="4" t="s">
        <v>192</v>
      </c>
      <c r="O34" s="4" t="s">
        <v>249</v>
      </c>
      <c r="P34" s="5" t="s">
        <v>46</v>
      </c>
    </row>
    <row r="35" customFormat="false" ht="23.85" hidden="false" customHeight="false" outlineLevel="0" collapsed="false">
      <c r="A35" s="4" t="s">
        <v>264</v>
      </c>
      <c r="B35" s="4" t="s">
        <v>250</v>
      </c>
      <c r="C35" s="4" t="s">
        <v>265</v>
      </c>
      <c r="D35" s="4" t="s">
        <v>266</v>
      </c>
      <c r="E35" s="4" t="s">
        <v>267</v>
      </c>
      <c r="F35" s="4" t="s">
        <v>268</v>
      </c>
      <c r="G35" s="4" t="s">
        <v>90</v>
      </c>
      <c r="H35" s="4" t="s">
        <v>254</v>
      </c>
      <c r="I35" s="4" t="s">
        <v>45</v>
      </c>
      <c r="J35" s="4" t="s">
        <v>45</v>
      </c>
      <c r="K35" s="4" t="s">
        <v>62</v>
      </c>
      <c r="L35" s="4" t="s">
        <v>42</v>
      </c>
      <c r="M35" s="4" t="s">
        <v>119</v>
      </c>
      <c r="N35" s="4" t="s">
        <v>192</v>
      </c>
      <c r="O35" s="4" t="s">
        <v>269</v>
      </c>
      <c r="P35" s="5" t="s">
        <v>46</v>
      </c>
    </row>
    <row r="36" customFormat="false" ht="23.85" hidden="false" customHeight="false" outlineLevel="0" collapsed="false">
      <c r="A36" s="4" t="s">
        <v>270</v>
      </c>
      <c r="B36" s="4" t="s">
        <v>250</v>
      </c>
      <c r="C36" s="4" t="s">
        <v>271</v>
      </c>
      <c r="D36" s="4" t="s">
        <v>272</v>
      </c>
      <c r="E36" s="4" t="s">
        <v>273</v>
      </c>
      <c r="F36" s="4" t="s">
        <v>274</v>
      </c>
      <c r="G36" s="4" t="s">
        <v>90</v>
      </c>
      <c r="H36" s="4" t="s">
        <v>254</v>
      </c>
      <c r="I36" s="4" t="s">
        <v>45</v>
      </c>
      <c r="J36" s="4" t="s">
        <v>45</v>
      </c>
      <c r="K36" s="4" t="s">
        <v>62</v>
      </c>
      <c r="L36" s="4" t="s">
        <v>42</v>
      </c>
      <c r="M36" s="4" t="s">
        <v>119</v>
      </c>
      <c r="N36" s="4" t="s">
        <v>192</v>
      </c>
      <c r="O36" s="4" t="s">
        <v>264</v>
      </c>
      <c r="P36" s="5" t="s">
        <v>46</v>
      </c>
    </row>
    <row r="37" customFormat="false" ht="23.85" hidden="false" customHeight="false" outlineLevel="0" collapsed="false">
      <c r="A37" s="4" t="s">
        <v>275</v>
      </c>
      <c r="B37" s="4" t="s">
        <v>276</v>
      </c>
      <c r="C37" s="4" t="s">
        <v>277</v>
      </c>
      <c r="D37" s="4" t="s">
        <v>278</v>
      </c>
      <c r="E37" s="4" t="s">
        <v>279</v>
      </c>
      <c r="F37" s="4" t="s">
        <v>280</v>
      </c>
      <c r="G37" s="4" t="s">
        <v>90</v>
      </c>
      <c r="H37" s="4" t="s">
        <v>281</v>
      </c>
      <c r="I37" s="4" t="s">
        <v>282</v>
      </c>
      <c r="J37" s="4" t="s">
        <v>93</v>
      </c>
      <c r="K37" s="4" t="s">
        <v>62</v>
      </c>
      <c r="L37" s="4" t="s">
        <v>283</v>
      </c>
      <c r="M37" s="4" t="s">
        <v>43</v>
      </c>
      <c r="N37" s="4" t="s">
        <v>192</v>
      </c>
      <c r="O37" s="4" t="s">
        <v>140</v>
      </c>
      <c r="P37" s="5" t="s">
        <v>46</v>
      </c>
    </row>
    <row r="38" customFormat="false" ht="23.85" hidden="false" customHeight="false" outlineLevel="0" collapsed="false">
      <c r="A38" s="4" t="s">
        <v>284</v>
      </c>
      <c r="B38" s="4" t="s">
        <v>276</v>
      </c>
      <c r="C38" s="4" t="s">
        <v>285</v>
      </c>
      <c r="D38" s="4" t="s">
        <v>286</v>
      </c>
      <c r="E38" s="4" t="s">
        <v>287</v>
      </c>
      <c r="F38" s="4" t="s">
        <v>288</v>
      </c>
      <c r="G38" s="4" t="s">
        <v>90</v>
      </c>
      <c r="H38" s="4" t="s">
        <v>289</v>
      </c>
      <c r="I38" s="4" t="s">
        <v>45</v>
      </c>
      <c r="J38" s="4" t="s">
        <v>45</v>
      </c>
      <c r="K38" s="4" t="s">
        <v>62</v>
      </c>
      <c r="L38" s="4" t="s">
        <v>42</v>
      </c>
      <c r="M38" s="4" t="s">
        <v>43</v>
      </c>
      <c r="N38" s="4" t="s">
        <v>192</v>
      </c>
      <c r="O38" s="4" t="s">
        <v>290</v>
      </c>
      <c r="P38" s="5" t="s">
        <v>46</v>
      </c>
    </row>
    <row r="39" customFormat="false" ht="23.85" hidden="false" customHeight="false" outlineLevel="0" collapsed="false">
      <c r="A39" s="4" t="s">
        <v>291</v>
      </c>
      <c r="B39" s="4" t="s">
        <v>276</v>
      </c>
      <c r="C39" s="4" t="s">
        <v>292</v>
      </c>
      <c r="D39" s="4" t="s">
        <v>293</v>
      </c>
      <c r="E39" s="4" t="s">
        <v>294</v>
      </c>
      <c r="F39" s="4" t="s">
        <v>295</v>
      </c>
      <c r="G39" s="4" t="s">
        <v>90</v>
      </c>
      <c r="H39" s="4" t="s">
        <v>296</v>
      </c>
      <c r="I39" s="4" t="s">
        <v>45</v>
      </c>
      <c r="J39" s="4" t="s">
        <v>45</v>
      </c>
      <c r="K39" s="4" t="s">
        <v>62</v>
      </c>
      <c r="L39" s="4" t="s">
        <v>42</v>
      </c>
      <c r="M39" s="4" t="s">
        <v>43</v>
      </c>
      <c r="N39" s="4" t="s">
        <v>192</v>
      </c>
      <c r="O39" s="4" t="s">
        <v>297</v>
      </c>
      <c r="P39" s="5" t="s">
        <v>46</v>
      </c>
    </row>
    <row r="40" customFormat="false" ht="15" hidden="false" customHeight="false" outlineLevel="0" collapsed="false">
      <c r="A40" s="4" t="s">
        <v>298</v>
      </c>
      <c r="B40" s="4" t="s">
        <v>276</v>
      </c>
      <c r="C40" s="4" t="s">
        <v>299</v>
      </c>
      <c r="D40" s="4" t="s">
        <v>300</v>
      </c>
      <c r="E40" s="4" t="s">
        <v>301</v>
      </c>
      <c r="F40" s="4" t="s">
        <v>302</v>
      </c>
      <c r="G40" s="4" t="s">
        <v>90</v>
      </c>
      <c r="H40" s="4" t="s">
        <v>296</v>
      </c>
      <c r="I40" s="4" t="s">
        <v>45</v>
      </c>
      <c r="J40" s="4" t="s">
        <v>45</v>
      </c>
      <c r="K40" s="4" t="s">
        <v>62</v>
      </c>
      <c r="L40" s="4" t="s">
        <v>42</v>
      </c>
      <c r="M40" s="4" t="s">
        <v>119</v>
      </c>
      <c r="N40" s="4" t="s">
        <v>192</v>
      </c>
      <c r="O40" s="4" t="s">
        <v>291</v>
      </c>
      <c r="P40" s="5" t="s">
        <v>46</v>
      </c>
    </row>
    <row r="41" customFormat="false" ht="23.85" hidden="false" customHeight="false" outlineLevel="0" collapsed="false">
      <c r="A41" s="4" t="s">
        <v>303</v>
      </c>
      <c r="B41" s="4" t="s">
        <v>304</v>
      </c>
      <c r="C41" s="4" t="s">
        <v>305</v>
      </c>
      <c r="D41" s="4" t="s">
        <v>306</v>
      </c>
      <c r="E41" s="4" t="s">
        <v>307</v>
      </c>
      <c r="F41" s="4" t="s">
        <v>308</v>
      </c>
      <c r="G41" s="4" t="s">
        <v>90</v>
      </c>
      <c r="H41" s="4" t="s">
        <v>309</v>
      </c>
      <c r="I41" s="4" t="s">
        <v>310</v>
      </c>
      <c r="J41" s="4" t="s">
        <v>311</v>
      </c>
      <c r="K41" s="4" t="s">
        <v>155</v>
      </c>
      <c r="L41" s="4" t="s">
        <v>42</v>
      </c>
      <c r="M41" s="4" t="s">
        <v>43</v>
      </c>
      <c r="N41" s="4" t="s">
        <v>312</v>
      </c>
      <c r="O41" s="4" t="s">
        <v>313</v>
      </c>
      <c r="P41" s="5" t="s">
        <v>46</v>
      </c>
    </row>
    <row r="42" customFormat="false" ht="23.85" hidden="false" customHeight="false" outlineLevel="0" collapsed="false">
      <c r="A42" s="4" t="s">
        <v>314</v>
      </c>
      <c r="B42" s="4" t="s">
        <v>304</v>
      </c>
      <c r="C42" s="4" t="s">
        <v>315</v>
      </c>
      <c r="D42" s="4" t="s">
        <v>316</v>
      </c>
      <c r="E42" s="4" t="s">
        <v>317</v>
      </c>
      <c r="F42" s="4" t="s">
        <v>318</v>
      </c>
      <c r="G42" s="4" t="s">
        <v>90</v>
      </c>
      <c r="H42" s="4" t="s">
        <v>309</v>
      </c>
      <c r="I42" s="4" t="s">
        <v>319</v>
      </c>
      <c r="J42" s="4" t="s">
        <v>93</v>
      </c>
      <c r="K42" s="4" t="s">
        <v>62</v>
      </c>
      <c r="L42" s="4" t="s">
        <v>42</v>
      </c>
      <c r="M42" s="4" t="s">
        <v>43</v>
      </c>
      <c r="N42" s="4" t="s">
        <v>312</v>
      </c>
      <c r="O42" s="4" t="s">
        <v>320</v>
      </c>
      <c r="P42" s="5" t="s">
        <v>46</v>
      </c>
    </row>
    <row r="43" customFormat="false" ht="23.85" hidden="false" customHeight="false" outlineLevel="0" collapsed="false">
      <c r="A43" s="4" t="s">
        <v>321</v>
      </c>
      <c r="B43" s="4" t="s">
        <v>304</v>
      </c>
      <c r="C43" s="4" t="s">
        <v>322</v>
      </c>
      <c r="D43" s="4" t="s">
        <v>323</v>
      </c>
      <c r="E43" s="4" t="s">
        <v>324</v>
      </c>
      <c r="F43" s="4" t="s">
        <v>325</v>
      </c>
      <c r="G43" s="4" t="s">
        <v>90</v>
      </c>
      <c r="H43" s="4" t="s">
        <v>326</v>
      </c>
      <c r="I43" s="4" t="s">
        <v>327</v>
      </c>
      <c r="J43" s="4" t="s">
        <v>328</v>
      </c>
      <c r="K43" s="4" t="s">
        <v>155</v>
      </c>
      <c r="L43" s="4" t="s">
        <v>329</v>
      </c>
      <c r="M43" s="4" t="s">
        <v>43</v>
      </c>
      <c r="N43" s="4" t="s">
        <v>312</v>
      </c>
      <c r="O43" s="4" t="s">
        <v>330</v>
      </c>
      <c r="P43" s="5" t="s">
        <v>46</v>
      </c>
    </row>
    <row r="44" customFormat="false" ht="15" hidden="false" customHeight="false" outlineLevel="0" collapsed="false">
      <c r="A44" s="4" t="s">
        <v>331</v>
      </c>
      <c r="B44" s="4" t="s">
        <v>304</v>
      </c>
      <c r="C44" s="4" t="s">
        <v>332</v>
      </c>
      <c r="D44" s="4" t="s">
        <v>333</v>
      </c>
      <c r="E44" s="4" t="s">
        <v>334</v>
      </c>
      <c r="F44" s="4" t="s">
        <v>335</v>
      </c>
      <c r="G44" s="4" t="s">
        <v>90</v>
      </c>
      <c r="H44" s="4" t="s">
        <v>326</v>
      </c>
      <c r="I44" s="4" t="s">
        <v>336</v>
      </c>
      <c r="J44" s="4" t="s">
        <v>93</v>
      </c>
      <c r="K44" s="4" t="s">
        <v>62</v>
      </c>
      <c r="L44" s="4" t="s">
        <v>42</v>
      </c>
      <c r="M44" s="4" t="s">
        <v>119</v>
      </c>
      <c r="N44" s="4" t="s">
        <v>312</v>
      </c>
      <c r="O44" s="4" t="s">
        <v>337</v>
      </c>
      <c r="P44" s="5" t="s">
        <v>46</v>
      </c>
    </row>
    <row r="45" customFormat="false" ht="23.85" hidden="false" customHeight="false" outlineLevel="0" collapsed="false">
      <c r="A45" s="4" t="s">
        <v>338</v>
      </c>
      <c r="B45" s="4" t="s">
        <v>339</v>
      </c>
      <c r="C45" s="4" t="s">
        <v>340</v>
      </c>
      <c r="D45" s="4" t="s">
        <v>341</v>
      </c>
      <c r="E45" s="4" t="s">
        <v>342</v>
      </c>
      <c r="F45" s="4" t="s">
        <v>343</v>
      </c>
      <c r="G45" s="4" t="s">
        <v>90</v>
      </c>
      <c r="H45" s="4" t="s">
        <v>344</v>
      </c>
      <c r="I45" s="4" t="s">
        <v>345</v>
      </c>
      <c r="J45" s="4" t="s">
        <v>93</v>
      </c>
      <c r="K45" s="4" t="s">
        <v>62</v>
      </c>
      <c r="L45" s="4" t="s">
        <v>42</v>
      </c>
      <c r="M45" s="4" t="s">
        <v>43</v>
      </c>
      <c r="N45" s="4" t="s">
        <v>312</v>
      </c>
      <c r="O45" s="4" t="s">
        <v>346</v>
      </c>
      <c r="P45" s="5" t="s">
        <v>46</v>
      </c>
    </row>
    <row r="46" customFormat="false" ht="23.85" hidden="false" customHeight="false" outlineLevel="0" collapsed="false">
      <c r="A46" s="4" t="s">
        <v>347</v>
      </c>
      <c r="B46" s="4" t="s">
        <v>339</v>
      </c>
      <c r="C46" s="4" t="s">
        <v>348</v>
      </c>
      <c r="D46" s="4" t="s">
        <v>349</v>
      </c>
      <c r="E46" s="4" t="s">
        <v>350</v>
      </c>
      <c r="F46" s="4" t="s">
        <v>351</v>
      </c>
      <c r="G46" s="4" t="s">
        <v>90</v>
      </c>
      <c r="H46" s="4" t="s">
        <v>344</v>
      </c>
      <c r="I46" s="4" t="s">
        <v>352</v>
      </c>
      <c r="J46" s="4" t="s">
        <v>93</v>
      </c>
      <c r="K46" s="4" t="s">
        <v>62</v>
      </c>
      <c r="L46" s="4" t="s">
        <v>42</v>
      </c>
      <c r="M46" s="4" t="s">
        <v>43</v>
      </c>
      <c r="N46" s="4" t="s">
        <v>312</v>
      </c>
      <c r="O46" s="4" t="s">
        <v>353</v>
      </c>
      <c r="P46" s="5" t="s">
        <v>46</v>
      </c>
    </row>
    <row r="47" customFormat="false" ht="23.85" hidden="false" customHeight="false" outlineLevel="0" collapsed="false">
      <c r="A47" s="4" t="s">
        <v>354</v>
      </c>
      <c r="B47" s="4" t="s">
        <v>339</v>
      </c>
      <c r="C47" s="4" t="s">
        <v>355</v>
      </c>
      <c r="D47" s="4" t="s">
        <v>356</v>
      </c>
      <c r="E47" s="4" t="s">
        <v>357</v>
      </c>
      <c r="F47" s="4" t="s">
        <v>358</v>
      </c>
      <c r="G47" s="4" t="s">
        <v>232</v>
      </c>
      <c r="H47" s="4" t="s">
        <v>344</v>
      </c>
      <c r="I47" s="4" t="s">
        <v>352</v>
      </c>
      <c r="J47" s="4" t="s">
        <v>93</v>
      </c>
      <c r="K47" s="4" t="s">
        <v>62</v>
      </c>
      <c r="L47" s="4" t="s">
        <v>359</v>
      </c>
      <c r="M47" s="4" t="s">
        <v>43</v>
      </c>
      <c r="N47" s="4" t="s">
        <v>312</v>
      </c>
      <c r="O47" s="4" t="s">
        <v>347</v>
      </c>
      <c r="P47" s="5" t="s">
        <v>46</v>
      </c>
    </row>
    <row r="48" customFormat="false" ht="35.05" hidden="false" customHeight="false" outlineLevel="0" collapsed="false">
      <c r="A48" s="4" t="s">
        <v>360</v>
      </c>
      <c r="B48" s="4" t="s">
        <v>361</v>
      </c>
      <c r="C48" s="4" t="s">
        <v>362</v>
      </c>
      <c r="D48" s="4" t="s">
        <v>363</v>
      </c>
      <c r="E48" s="4" t="s">
        <v>364</v>
      </c>
      <c r="F48" s="4" t="s">
        <v>365</v>
      </c>
      <c r="G48" s="4" t="s">
        <v>90</v>
      </c>
      <c r="H48" s="4" t="s">
        <v>366</v>
      </c>
      <c r="I48" s="4" t="s">
        <v>327</v>
      </c>
      <c r="J48" s="4" t="s">
        <v>367</v>
      </c>
      <c r="K48" s="4" t="s">
        <v>155</v>
      </c>
      <c r="L48" s="4" t="s">
        <v>368</v>
      </c>
      <c r="M48" s="4" t="s">
        <v>119</v>
      </c>
      <c r="N48" s="4" t="s">
        <v>312</v>
      </c>
      <c r="O48" s="4" t="s">
        <v>330</v>
      </c>
      <c r="P48" s="5" t="s">
        <v>46</v>
      </c>
    </row>
    <row r="49" customFormat="false" ht="23.85" hidden="false" customHeight="false" outlineLevel="0" collapsed="false">
      <c r="A49" s="4" t="s">
        <v>369</v>
      </c>
      <c r="B49" s="4" t="s">
        <v>361</v>
      </c>
      <c r="C49" s="4" t="s">
        <v>370</v>
      </c>
      <c r="D49" s="4" t="s">
        <v>371</v>
      </c>
      <c r="E49" s="4" t="s">
        <v>45</v>
      </c>
      <c r="F49" s="4" t="s">
        <v>372</v>
      </c>
      <c r="G49" s="4" t="s">
        <v>373</v>
      </c>
      <c r="H49" s="4" t="s">
        <v>374</v>
      </c>
      <c r="I49" s="4" t="s">
        <v>45</v>
      </c>
      <c r="J49" s="4" t="s">
        <v>45</v>
      </c>
      <c r="K49" s="4" t="s">
        <v>62</v>
      </c>
      <c r="L49" s="4" t="s">
        <v>375</v>
      </c>
      <c r="M49" s="4" t="s">
        <v>376</v>
      </c>
      <c r="N49" s="4" t="s">
        <v>312</v>
      </c>
      <c r="O49" s="4" t="s">
        <v>377</v>
      </c>
      <c r="P49" s="5" t="s">
        <v>46</v>
      </c>
    </row>
    <row r="50" customFormat="false" ht="23.85" hidden="false" customHeight="false" outlineLevel="0" collapsed="false">
      <c r="A50" s="4" t="s">
        <v>378</v>
      </c>
      <c r="B50" s="4" t="s">
        <v>379</v>
      </c>
      <c r="C50" s="4" t="s">
        <v>380</v>
      </c>
      <c r="D50" s="4" t="s">
        <v>381</v>
      </c>
      <c r="E50" s="4" t="s">
        <v>382</v>
      </c>
      <c r="F50" s="4" t="s">
        <v>383</v>
      </c>
      <c r="G50" s="4" t="s">
        <v>373</v>
      </c>
      <c r="H50" s="4" t="s">
        <v>384</v>
      </c>
      <c r="I50" s="4" t="s">
        <v>45</v>
      </c>
      <c r="J50" s="4" t="s">
        <v>45</v>
      </c>
      <c r="K50" s="4" t="s">
        <v>62</v>
      </c>
      <c r="L50" s="4" t="s">
        <v>385</v>
      </c>
      <c r="M50" s="4" t="s">
        <v>119</v>
      </c>
      <c r="N50" s="4" t="s">
        <v>312</v>
      </c>
      <c r="O50" s="4" t="s">
        <v>56</v>
      </c>
      <c r="P50" s="5" t="s">
        <v>46</v>
      </c>
    </row>
    <row r="51" customFormat="false" ht="23.85" hidden="false" customHeight="false" outlineLevel="0" collapsed="false">
      <c r="A51" s="4" t="s">
        <v>386</v>
      </c>
      <c r="B51" s="4" t="s">
        <v>379</v>
      </c>
      <c r="C51" s="4" t="s">
        <v>387</v>
      </c>
      <c r="D51" s="4" t="s">
        <v>388</v>
      </c>
      <c r="E51" s="4" t="s">
        <v>111</v>
      </c>
      <c r="F51" s="4" t="s">
        <v>389</v>
      </c>
      <c r="G51" s="4" t="s">
        <v>45</v>
      </c>
      <c r="H51" s="4" t="s">
        <v>45</v>
      </c>
      <c r="I51" s="4" t="s">
        <v>390</v>
      </c>
      <c r="J51" s="4" t="s">
        <v>391</v>
      </c>
      <c r="K51" s="4" t="s">
        <v>392</v>
      </c>
      <c r="L51" s="4" t="s">
        <v>42</v>
      </c>
      <c r="M51" s="4" t="s">
        <v>376</v>
      </c>
      <c r="N51" s="4" t="s">
        <v>312</v>
      </c>
      <c r="O51" s="4" t="s">
        <v>378</v>
      </c>
      <c r="P51" s="5" t="s">
        <v>46</v>
      </c>
    </row>
    <row r="52" customFormat="false" ht="23.85" hidden="false" customHeight="false" outlineLevel="0" collapsed="false">
      <c r="A52" s="4" t="s">
        <v>393</v>
      </c>
      <c r="B52" s="4" t="s">
        <v>379</v>
      </c>
      <c r="C52" s="4" t="s">
        <v>394</v>
      </c>
      <c r="D52" s="4" t="s">
        <v>395</v>
      </c>
      <c r="E52" s="4" t="s">
        <v>396</v>
      </c>
      <c r="F52" s="4" t="s">
        <v>397</v>
      </c>
      <c r="G52" s="4" t="s">
        <v>90</v>
      </c>
      <c r="H52" s="4" t="s">
        <v>215</v>
      </c>
      <c r="I52" s="4" t="s">
        <v>45</v>
      </c>
      <c r="J52" s="4" t="s">
        <v>45</v>
      </c>
      <c r="K52" s="4" t="s">
        <v>62</v>
      </c>
      <c r="L52" s="4" t="s">
        <v>42</v>
      </c>
      <c r="M52" s="4" t="s">
        <v>119</v>
      </c>
      <c r="N52" s="4" t="s">
        <v>312</v>
      </c>
      <c r="O52" s="4" t="s">
        <v>378</v>
      </c>
      <c r="P52" s="5" t="s">
        <v>46</v>
      </c>
    </row>
    <row r="53" customFormat="false" ht="15" hidden="false" customHeight="false" outlineLevel="0" collapsed="false">
      <c r="A53" s="4" t="s">
        <v>398</v>
      </c>
      <c r="B53" s="4" t="s">
        <v>379</v>
      </c>
      <c r="C53" s="4" t="s">
        <v>399</v>
      </c>
      <c r="D53" s="4" t="s">
        <v>400</v>
      </c>
      <c r="E53" s="4" t="s">
        <v>382</v>
      </c>
      <c r="F53" s="4" t="s">
        <v>401</v>
      </c>
      <c r="G53" s="4" t="s">
        <v>99</v>
      </c>
      <c r="H53" s="4" t="s">
        <v>402</v>
      </c>
      <c r="I53" s="4" t="s">
        <v>45</v>
      </c>
      <c r="J53" s="4" t="s">
        <v>45</v>
      </c>
      <c r="K53" s="4" t="s">
        <v>62</v>
      </c>
      <c r="L53" s="4" t="s">
        <v>42</v>
      </c>
      <c r="M53" s="4" t="s">
        <v>119</v>
      </c>
      <c r="N53" s="4" t="s">
        <v>312</v>
      </c>
      <c r="O53" s="4" t="s">
        <v>85</v>
      </c>
      <c r="P53" s="5" t="s">
        <v>46</v>
      </c>
    </row>
    <row r="54" customFormat="false" ht="15" hidden="false" customHeight="false" outlineLevel="0" collapsed="false">
      <c r="A54" s="4" t="s">
        <v>403</v>
      </c>
      <c r="B54" s="4" t="s">
        <v>379</v>
      </c>
      <c r="C54" s="4" t="s">
        <v>404</v>
      </c>
      <c r="D54" s="4" t="s">
        <v>405</v>
      </c>
      <c r="E54" s="4" t="s">
        <v>111</v>
      </c>
      <c r="F54" s="4" t="s">
        <v>406</v>
      </c>
      <c r="G54" s="4" t="s">
        <v>99</v>
      </c>
      <c r="H54" s="4" t="s">
        <v>407</v>
      </c>
      <c r="I54" s="4" t="s">
        <v>45</v>
      </c>
      <c r="J54" s="4" t="s">
        <v>45</v>
      </c>
      <c r="K54" s="4" t="s">
        <v>62</v>
      </c>
      <c r="L54" s="4" t="s">
        <v>42</v>
      </c>
      <c r="M54" s="4" t="s">
        <v>119</v>
      </c>
      <c r="N54" s="4" t="s">
        <v>312</v>
      </c>
      <c r="O54" s="4" t="s">
        <v>125</v>
      </c>
      <c r="P54" s="5" t="s">
        <v>46</v>
      </c>
    </row>
    <row r="55" customFormat="false" ht="15" hidden="false" customHeight="false" outlineLevel="0" collapsed="false">
      <c r="A55" s="4" t="s">
        <v>408</v>
      </c>
      <c r="B55" s="4" t="s">
        <v>409</v>
      </c>
      <c r="C55" s="4" t="s">
        <v>410</v>
      </c>
      <c r="D55" s="4" t="s">
        <v>411</v>
      </c>
      <c r="E55" s="4" t="s">
        <v>45</v>
      </c>
      <c r="F55" s="4" t="s">
        <v>412</v>
      </c>
      <c r="G55" s="4" t="s">
        <v>99</v>
      </c>
      <c r="H55" s="4" t="s">
        <v>413</v>
      </c>
      <c r="I55" s="4" t="s">
        <v>45</v>
      </c>
      <c r="J55" s="4" t="s">
        <v>45</v>
      </c>
      <c r="K55" s="4" t="s">
        <v>62</v>
      </c>
      <c r="L55" s="4" t="s">
        <v>414</v>
      </c>
      <c r="M55" s="4" t="s">
        <v>119</v>
      </c>
      <c r="N55" s="4" t="s">
        <v>415</v>
      </c>
      <c r="O55" s="4" t="s">
        <v>31</v>
      </c>
      <c r="P55" s="5" t="s">
        <v>46</v>
      </c>
    </row>
    <row r="56" customFormat="false" ht="23.85" hidden="false" customHeight="false" outlineLevel="0" collapsed="false">
      <c r="A56" s="4" t="s">
        <v>416</v>
      </c>
      <c r="B56" s="4" t="s">
        <v>409</v>
      </c>
      <c r="C56" s="4" t="s">
        <v>417</v>
      </c>
      <c r="D56" s="4" t="s">
        <v>418</v>
      </c>
      <c r="E56" s="4" t="s">
        <v>45</v>
      </c>
      <c r="F56" s="4" t="s">
        <v>419</v>
      </c>
      <c r="G56" s="4" t="s">
        <v>99</v>
      </c>
      <c r="H56" s="4" t="s">
        <v>420</v>
      </c>
      <c r="I56" s="4" t="s">
        <v>421</v>
      </c>
      <c r="J56" s="4" t="s">
        <v>422</v>
      </c>
      <c r="K56" s="4" t="s">
        <v>62</v>
      </c>
      <c r="L56" s="4" t="s">
        <v>42</v>
      </c>
      <c r="M56" s="4" t="s">
        <v>119</v>
      </c>
      <c r="N56" s="4" t="s">
        <v>415</v>
      </c>
      <c r="O56" s="4" t="s">
        <v>31</v>
      </c>
      <c r="P56" s="5" t="s">
        <v>46</v>
      </c>
    </row>
    <row r="57" customFormat="false" ht="15" hidden="false" customHeight="false" outlineLevel="0" collapsed="false">
      <c r="A57" s="4" t="s">
        <v>423</v>
      </c>
      <c r="B57" s="4" t="s">
        <v>409</v>
      </c>
      <c r="C57" s="4" t="s">
        <v>424</v>
      </c>
      <c r="D57" s="4" t="s">
        <v>425</v>
      </c>
      <c r="E57" s="4" t="s">
        <v>111</v>
      </c>
      <c r="F57" s="4" t="s">
        <v>426</v>
      </c>
      <c r="G57" s="4" t="s">
        <v>99</v>
      </c>
      <c r="H57" s="4" t="s">
        <v>427</v>
      </c>
      <c r="I57" s="4" t="s">
        <v>45</v>
      </c>
      <c r="J57" s="4" t="s">
        <v>45</v>
      </c>
      <c r="K57" s="4" t="s">
        <v>62</v>
      </c>
      <c r="L57" s="4" t="s">
        <v>42</v>
      </c>
      <c r="M57" s="4" t="s">
        <v>119</v>
      </c>
      <c r="N57" s="4" t="s">
        <v>415</v>
      </c>
      <c r="O57" s="4" t="s">
        <v>130</v>
      </c>
      <c r="P57" s="5" t="s">
        <v>46</v>
      </c>
    </row>
    <row r="58" customFormat="false" ht="35.05" hidden="false" customHeight="false" outlineLevel="0" collapsed="false">
      <c r="A58" s="4" t="s">
        <v>428</v>
      </c>
      <c r="B58" s="4" t="s">
        <v>409</v>
      </c>
      <c r="C58" s="4" t="s">
        <v>429</v>
      </c>
      <c r="D58" s="4" t="s">
        <v>430</v>
      </c>
      <c r="E58" s="4" t="s">
        <v>431</v>
      </c>
      <c r="F58" s="4" t="s">
        <v>432</v>
      </c>
      <c r="G58" s="4" t="s">
        <v>433</v>
      </c>
      <c r="H58" s="4" t="s">
        <v>434</v>
      </c>
      <c r="I58" s="4" t="s">
        <v>45</v>
      </c>
      <c r="J58" s="4" t="s">
        <v>45</v>
      </c>
      <c r="K58" s="4" t="s">
        <v>76</v>
      </c>
      <c r="L58" s="4" t="s">
        <v>435</v>
      </c>
      <c r="M58" s="4" t="s">
        <v>376</v>
      </c>
      <c r="N58" s="4" t="s">
        <v>415</v>
      </c>
      <c r="O58" s="4" t="s">
        <v>436</v>
      </c>
      <c r="P58" s="5" t="s">
        <v>46</v>
      </c>
    </row>
    <row r="59" customFormat="false" ht="23.85" hidden="false" customHeight="false" outlineLevel="0" collapsed="false">
      <c r="A59" s="4" t="s">
        <v>437</v>
      </c>
      <c r="B59" s="4" t="s">
        <v>409</v>
      </c>
      <c r="C59" s="4" t="s">
        <v>438</v>
      </c>
      <c r="D59" s="4" t="s">
        <v>439</v>
      </c>
      <c r="E59" s="4" t="s">
        <v>440</v>
      </c>
      <c r="F59" s="4" t="s">
        <v>441</v>
      </c>
      <c r="G59" s="4" t="s">
        <v>90</v>
      </c>
      <c r="H59" s="4" t="s">
        <v>247</v>
      </c>
      <c r="I59" s="4" t="s">
        <v>45</v>
      </c>
      <c r="J59" s="4" t="s">
        <v>45</v>
      </c>
      <c r="K59" s="4" t="s">
        <v>62</v>
      </c>
      <c r="L59" s="4" t="s">
        <v>42</v>
      </c>
      <c r="M59" s="4" t="s">
        <v>376</v>
      </c>
      <c r="N59" s="4" t="s">
        <v>415</v>
      </c>
      <c r="O59" s="4" t="s">
        <v>442</v>
      </c>
      <c r="P59" s="5" t="s">
        <v>46</v>
      </c>
    </row>
    <row r="60" customFormat="false" ht="23.85" hidden="false" customHeight="false" outlineLevel="0" collapsed="false">
      <c r="A60" s="4" t="s">
        <v>443</v>
      </c>
      <c r="B60" s="4" t="s">
        <v>444</v>
      </c>
      <c r="C60" s="4" t="s">
        <v>445</v>
      </c>
      <c r="D60" s="4" t="s">
        <v>446</v>
      </c>
      <c r="E60" s="4" t="s">
        <v>447</v>
      </c>
      <c r="F60" s="4" t="s">
        <v>448</v>
      </c>
      <c r="G60" s="4" t="s">
        <v>162</v>
      </c>
      <c r="H60" s="4" t="s">
        <v>449</v>
      </c>
      <c r="I60" s="4" t="s">
        <v>172</v>
      </c>
      <c r="J60" s="4" t="s">
        <v>93</v>
      </c>
      <c r="K60" s="4" t="s">
        <v>62</v>
      </c>
      <c r="L60" s="4" t="s">
        <v>450</v>
      </c>
      <c r="M60" s="4" t="s">
        <v>119</v>
      </c>
      <c r="N60" s="4" t="s">
        <v>415</v>
      </c>
      <c r="O60" s="4" t="s">
        <v>31</v>
      </c>
      <c r="P60" s="5" t="s">
        <v>46</v>
      </c>
    </row>
    <row r="61" customFormat="false" ht="23.85" hidden="false" customHeight="false" outlineLevel="0" collapsed="false">
      <c r="A61" s="4" t="s">
        <v>451</v>
      </c>
      <c r="B61" s="4" t="s">
        <v>444</v>
      </c>
      <c r="C61" s="4" t="s">
        <v>452</v>
      </c>
      <c r="D61" s="4" t="s">
        <v>453</v>
      </c>
      <c r="E61" s="4" t="s">
        <v>454</v>
      </c>
      <c r="F61" s="4" t="s">
        <v>455</v>
      </c>
      <c r="G61" s="4" t="s">
        <v>456</v>
      </c>
      <c r="H61" s="4" t="s">
        <v>457</v>
      </c>
      <c r="I61" s="4" t="s">
        <v>45</v>
      </c>
      <c r="J61" s="4" t="s">
        <v>45</v>
      </c>
      <c r="K61" s="4" t="s">
        <v>76</v>
      </c>
      <c r="L61" s="4" t="s">
        <v>458</v>
      </c>
      <c r="M61" s="4" t="s">
        <v>119</v>
      </c>
      <c r="N61" s="4" t="s">
        <v>415</v>
      </c>
      <c r="O61" s="4" t="s">
        <v>443</v>
      </c>
      <c r="P61" s="5" t="s">
        <v>46</v>
      </c>
    </row>
    <row r="62" customFormat="false" ht="23.85" hidden="false" customHeight="false" outlineLevel="0" collapsed="false">
      <c r="A62" s="4" t="s">
        <v>459</v>
      </c>
      <c r="B62" s="4" t="s">
        <v>460</v>
      </c>
      <c r="C62" s="4" t="s">
        <v>461</v>
      </c>
      <c r="D62" s="4" t="s">
        <v>462</v>
      </c>
      <c r="E62" s="4" t="s">
        <v>463</v>
      </c>
      <c r="F62" s="4" t="s">
        <v>464</v>
      </c>
      <c r="G62" s="4" t="s">
        <v>90</v>
      </c>
      <c r="H62" s="4" t="s">
        <v>465</v>
      </c>
      <c r="I62" s="4" t="s">
        <v>466</v>
      </c>
      <c r="J62" s="4" t="s">
        <v>93</v>
      </c>
      <c r="K62" s="4" t="s">
        <v>62</v>
      </c>
      <c r="L62" s="4" t="s">
        <v>42</v>
      </c>
      <c r="M62" s="4" t="s">
        <v>376</v>
      </c>
      <c r="N62" s="4" t="s">
        <v>415</v>
      </c>
      <c r="O62" s="4" t="s">
        <v>94</v>
      </c>
      <c r="P62" s="5" t="s">
        <v>46</v>
      </c>
    </row>
    <row r="63" customFormat="false" ht="23.85" hidden="false" customHeight="false" outlineLevel="0" collapsed="false">
      <c r="A63" s="4" t="s">
        <v>467</v>
      </c>
      <c r="B63" s="4" t="s">
        <v>460</v>
      </c>
      <c r="C63" s="4" t="s">
        <v>468</v>
      </c>
      <c r="D63" s="4" t="s">
        <v>469</v>
      </c>
      <c r="E63" s="4" t="s">
        <v>470</v>
      </c>
      <c r="F63" s="4" t="s">
        <v>471</v>
      </c>
      <c r="G63" s="4" t="s">
        <v>90</v>
      </c>
      <c r="H63" s="4" t="s">
        <v>472</v>
      </c>
      <c r="I63" s="4" t="s">
        <v>473</v>
      </c>
      <c r="J63" s="4" t="s">
        <v>367</v>
      </c>
      <c r="K63" s="4" t="s">
        <v>155</v>
      </c>
      <c r="L63" s="4" t="s">
        <v>42</v>
      </c>
      <c r="M63" s="4" t="s">
        <v>376</v>
      </c>
      <c r="N63" s="4" t="s">
        <v>415</v>
      </c>
      <c r="O63" s="4" t="s">
        <v>474</v>
      </c>
      <c r="P63" s="5" t="s">
        <v>46</v>
      </c>
    </row>
    <row r="64" customFormat="false" ht="23.85" hidden="false" customHeight="false" outlineLevel="0" collapsed="false">
      <c r="A64" s="4" t="s">
        <v>475</v>
      </c>
      <c r="B64" s="4" t="s">
        <v>476</v>
      </c>
      <c r="C64" s="4" t="s">
        <v>477</v>
      </c>
      <c r="D64" s="4" t="s">
        <v>478</v>
      </c>
      <c r="E64" s="4" t="s">
        <v>479</v>
      </c>
      <c r="F64" s="4" t="s">
        <v>480</v>
      </c>
      <c r="G64" s="4" t="s">
        <v>481</v>
      </c>
      <c r="H64" s="4" t="s">
        <v>482</v>
      </c>
      <c r="I64" s="4" t="s">
        <v>45</v>
      </c>
      <c r="J64" s="4" t="s">
        <v>45</v>
      </c>
      <c r="K64" s="4" t="s">
        <v>62</v>
      </c>
      <c r="L64" s="4" t="s">
        <v>42</v>
      </c>
      <c r="M64" s="4" t="s">
        <v>43</v>
      </c>
      <c r="N64" s="4" t="s">
        <v>415</v>
      </c>
      <c r="O64" s="4" t="s">
        <v>483</v>
      </c>
      <c r="P64" s="5" t="s">
        <v>46</v>
      </c>
    </row>
    <row r="65" customFormat="false" ht="23.85" hidden="false" customHeight="false" outlineLevel="0" collapsed="false">
      <c r="A65" s="4" t="s">
        <v>484</v>
      </c>
      <c r="B65" s="4" t="s">
        <v>476</v>
      </c>
      <c r="C65" s="4" t="s">
        <v>485</v>
      </c>
      <c r="D65" s="4" t="s">
        <v>486</v>
      </c>
      <c r="E65" s="4" t="s">
        <v>487</v>
      </c>
      <c r="F65" s="4" t="s">
        <v>488</v>
      </c>
      <c r="G65" s="4" t="s">
        <v>489</v>
      </c>
      <c r="H65" s="4" t="s">
        <v>490</v>
      </c>
      <c r="I65" s="4" t="s">
        <v>45</v>
      </c>
      <c r="J65" s="4" t="s">
        <v>45</v>
      </c>
      <c r="K65" s="4" t="s">
        <v>491</v>
      </c>
      <c r="L65" s="4" t="s">
        <v>42</v>
      </c>
      <c r="M65" s="4" t="s">
        <v>43</v>
      </c>
      <c r="N65" s="4" t="s">
        <v>415</v>
      </c>
      <c r="O65" s="4" t="s">
        <v>475</v>
      </c>
      <c r="P65" s="5" t="s">
        <v>46</v>
      </c>
    </row>
    <row r="66" customFormat="false" ht="23.85" hidden="false" customHeight="false" outlineLevel="0" collapsed="false">
      <c r="A66" s="4" t="s">
        <v>436</v>
      </c>
      <c r="B66" s="4" t="s">
        <v>476</v>
      </c>
      <c r="C66" s="4" t="s">
        <v>492</v>
      </c>
      <c r="D66" s="4" t="s">
        <v>493</v>
      </c>
      <c r="E66" s="4" t="s">
        <v>494</v>
      </c>
      <c r="F66" s="4" t="s">
        <v>479</v>
      </c>
      <c r="G66" s="4" t="s">
        <v>495</v>
      </c>
      <c r="H66" s="4" t="s">
        <v>496</v>
      </c>
      <c r="I66" s="4" t="s">
        <v>45</v>
      </c>
      <c r="J66" s="4" t="s">
        <v>45</v>
      </c>
      <c r="K66" s="4" t="s">
        <v>76</v>
      </c>
      <c r="L66" s="4" t="s">
        <v>42</v>
      </c>
      <c r="M66" s="4" t="s">
        <v>43</v>
      </c>
      <c r="N66" s="4" t="s">
        <v>415</v>
      </c>
      <c r="O66" s="4" t="s">
        <v>484</v>
      </c>
      <c r="P66" s="5" t="s">
        <v>46</v>
      </c>
    </row>
    <row r="67" customFormat="false" ht="23.85" hidden="false" customHeight="false" outlineLevel="0" collapsed="false">
      <c r="A67" s="4" t="s">
        <v>497</v>
      </c>
      <c r="B67" s="4" t="s">
        <v>476</v>
      </c>
      <c r="C67" s="4" t="s">
        <v>498</v>
      </c>
      <c r="D67" s="4" t="s">
        <v>499</v>
      </c>
      <c r="E67" s="4" t="s">
        <v>500</v>
      </c>
      <c r="F67" s="4" t="s">
        <v>501</v>
      </c>
      <c r="G67" s="4" t="s">
        <v>495</v>
      </c>
      <c r="H67" s="4" t="s">
        <v>502</v>
      </c>
      <c r="I67" s="4" t="s">
        <v>45</v>
      </c>
      <c r="J67" s="4" t="s">
        <v>45</v>
      </c>
      <c r="K67" s="4" t="s">
        <v>76</v>
      </c>
      <c r="L67" s="4" t="s">
        <v>42</v>
      </c>
      <c r="M67" s="4" t="s">
        <v>119</v>
      </c>
      <c r="N67" s="4" t="s">
        <v>415</v>
      </c>
      <c r="O67" s="4" t="s">
        <v>484</v>
      </c>
      <c r="P67" s="5" t="s">
        <v>46</v>
      </c>
    </row>
    <row r="68" customFormat="false" ht="23.85" hidden="false" customHeight="false" outlineLevel="0" collapsed="false">
      <c r="A68" s="4" t="s">
        <v>503</v>
      </c>
      <c r="B68" s="4" t="s">
        <v>476</v>
      </c>
      <c r="C68" s="4" t="s">
        <v>504</v>
      </c>
      <c r="D68" s="4" t="s">
        <v>505</v>
      </c>
      <c r="E68" s="4" t="s">
        <v>506</v>
      </c>
      <c r="F68" s="4" t="s">
        <v>507</v>
      </c>
      <c r="G68" s="4" t="s">
        <v>508</v>
      </c>
      <c r="H68" s="4" t="s">
        <v>509</v>
      </c>
      <c r="I68" s="4" t="s">
        <v>45</v>
      </c>
      <c r="J68" s="4" t="s">
        <v>45</v>
      </c>
      <c r="K68" s="4" t="s">
        <v>491</v>
      </c>
      <c r="L68" s="4" t="s">
        <v>42</v>
      </c>
      <c r="M68" s="4" t="s">
        <v>376</v>
      </c>
      <c r="N68" s="4" t="s">
        <v>415</v>
      </c>
      <c r="O68" s="4" t="s">
        <v>510</v>
      </c>
      <c r="P68" s="5" t="s">
        <v>46</v>
      </c>
    </row>
    <row r="69" customFormat="false" ht="23.85" hidden="false" customHeight="false" outlineLevel="0" collapsed="false">
      <c r="A69" s="4" t="s">
        <v>511</v>
      </c>
      <c r="B69" s="4" t="s">
        <v>512</v>
      </c>
      <c r="C69" s="4" t="s">
        <v>513</v>
      </c>
      <c r="D69" s="4" t="s">
        <v>514</v>
      </c>
      <c r="E69" s="4" t="s">
        <v>480</v>
      </c>
      <c r="F69" s="4" t="s">
        <v>515</v>
      </c>
      <c r="G69" s="4" t="s">
        <v>90</v>
      </c>
      <c r="H69" s="4" t="s">
        <v>516</v>
      </c>
      <c r="I69" s="4" t="s">
        <v>45</v>
      </c>
      <c r="J69" s="4" t="s">
        <v>45</v>
      </c>
      <c r="K69" s="4" t="s">
        <v>62</v>
      </c>
      <c r="L69" s="4" t="s">
        <v>42</v>
      </c>
      <c r="M69" s="4" t="s">
        <v>43</v>
      </c>
      <c r="N69" s="4" t="s">
        <v>415</v>
      </c>
      <c r="O69" s="4" t="s">
        <v>475</v>
      </c>
      <c r="P69" s="5" t="s">
        <v>46</v>
      </c>
    </row>
    <row r="70" customFormat="false" ht="23.85" hidden="false" customHeight="false" outlineLevel="0" collapsed="false">
      <c r="A70" s="4" t="s">
        <v>517</v>
      </c>
      <c r="B70" s="4" t="s">
        <v>512</v>
      </c>
      <c r="C70" s="4" t="s">
        <v>518</v>
      </c>
      <c r="D70" s="4" t="s">
        <v>519</v>
      </c>
      <c r="E70" s="4" t="s">
        <v>515</v>
      </c>
      <c r="F70" s="4" t="s">
        <v>520</v>
      </c>
      <c r="G70" s="4" t="s">
        <v>521</v>
      </c>
      <c r="H70" s="4" t="s">
        <v>522</v>
      </c>
      <c r="I70" s="4" t="s">
        <v>45</v>
      </c>
      <c r="J70" s="4" t="s">
        <v>45</v>
      </c>
      <c r="K70" s="4" t="s">
        <v>76</v>
      </c>
      <c r="L70" s="4" t="s">
        <v>42</v>
      </c>
      <c r="M70" s="4" t="s">
        <v>43</v>
      </c>
      <c r="N70" s="4" t="s">
        <v>415</v>
      </c>
      <c r="O70" s="4" t="s">
        <v>511</v>
      </c>
      <c r="P70" s="5" t="s">
        <v>46</v>
      </c>
    </row>
    <row r="71" customFormat="false" ht="23.85" hidden="false" customHeight="false" outlineLevel="0" collapsed="false">
      <c r="A71" s="4" t="s">
        <v>523</v>
      </c>
      <c r="B71" s="4" t="s">
        <v>512</v>
      </c>
      <c r="C71" s="4" t="s">
        <v>524</v>
      </c>
      <c r="D71" s="4" t="s">
        <v>525</v>
      </c>
      <c r="E71" s="4" t="s">
        <v>526</v>
      </c>
      <c r="F71" s="4" t="s">
        <v>527</v>
      </c>
      <c r="G71" s="4" t="s">
        <v>528</v>
      </c>
      <c r="H71" s="4" t="s">
        <v>529</v>
      </c>
      <c r="I71" s="4" t="s">
        <v>45</v>
      </c>
      <c r="J71" s="4" t="s">
        <v>45</v>
      </c>
      <c r="K71" s="4" t="s">
        <v>62</v>
      </c>
      <c r="L71" s="4" t="s">
        <v>42</v>
      </c>
      <c r="M71" s="4" t="s">
        <v>43</v>
      </c>
      <c r="N71" s="4" t="s">
        <v>415</v>
      </c>
      <c r="O71" s="4" t="s">
        <v>517</v>
      </c>
      <c r="P71" s="5" t="s">
        <v>46</v>
      </c>
    </row>
    <row r="72" customFormat="false" ht="23.85" hidden="false" customHeight="false" outlineLevel="0" collapsed="false">
      <c r="A72" s="4" t="s">
        <v>377</v>
      </c>
      <c r="B72" s="4" t="s">
        <v>530</v>
      </c>
      <c r="C72" s="4" t="s">
        <v>531</v>
      </c>
      <c r="D72" s="4" t="s">
        <v>532</v>
      </c>
      <c r="E72" s="4" t="s">
        <v>533</v>
      </c>
      <c r="F72" s="4" t="s">
        <v>534</v>
      </c>
      <c r="G72" s="4" t="s">
        <v>373</v>
      </c>
      <c r="H72" s="4" t="s">
        <v>535</v>
      </c>
      <c r="I72" s="4" t="s">
        <v>536</v>
      </c>
      <c r="J72" s="4" t="s">
        <v>93</v>
      </c>
      <c r="K72" s="4" t="s">
        <v>62</v>
      </c>
      <c r="L72" s="4" t="s">
        <v>537</v>
      </c>
      <c r="M72" s="4" t="s">
        <v>43</v>
      </c>
      <c r="N72" s="4" t="s">
        <v>44</v>
      </c>
      <c r="O72" s="4" t="s">
        <v>47</v>
      </c>
      <c r="P72" s="5" t="s">
        <v>46</v>
      </c>
    </row>
    <row r="73" customFormat="false" ht="23.85" hidden="false" customHeight="false" outlineLevel="0" collapsed="false">
      <c r="A73" s="4" t="s">
        <v>538</v>
      </c>
      <c r="B73" s="4" t="s">
        <v>530</v>
      </c>
      <c r="C73" s="4" t="s">
        <v>539</v>
      </c>
      <c r="D73" s="4" t="s">
        <v>540</v>
      </c>
      <c r="E73" s="4" t="s">
        <v>541</v>
      </c>
      <c r="F73" s="4" t="s">
        <v>542</v>
      </c>
      <c r="G73" s="4" t="s">
        <v>373</v>
      </c>
      <c r="H73" s="4" t="s">
        <v>543</v>
      </c>
      <c r="I73" s="4" t="s">
        <v>544</v>
      </c>
      <c r="J73" s="4" t="s">
        <v>545</v>
      </c>
      <c r="K73" s="4" t="s">
        <v>62</v>
      </c>
      <c r="L73" s="4" t="s">
        <v>42</v>
      </c>
      <c r="M73" s="4" t="s">
        <v>43</v>
      </c>
      <c r="N73" s="4" t="s">
        <v>44</v>
      </c>
      <c r="O73" s="4" t="s">
        <v>377</v>
      </c>
      <c r="P73" s="5" t="s">
        <v>46</v>
      </c>
    </row>
    <row r="74" customFormat="false" ht="23.85" hidden="false" customHeight="false" outlineLevel="0" collapsed="false">
      <c r="A74" s="4" t="s">
        <v>546</v>
      </c>
      <c r="B74" s="4" t="s">
        <v>530</v>
      </c>
      <c r="C74" s="4" t="s">
        <v>547</v>
      </c>
      <c r="D74" s="4" t="s">
        <v>548</v>
      </c>
      <c r="E74" s="4" t="s">
        <v>45</v>
      </c>
      <c r="F74" s="4" t="s">
        <v>111</v>
      </c>
      <c r="G74" s="4" t="s">
        <v>549</v>
      </c>
      <c r="H74" s="4" t="s">
        <v>550</v>
      </c>
      <c r="I74" s="4" t="s">
        <v>45</v>
      </c>
      <c r="J74" s="4" t="s">
        <v>45</v>
      </c>
      <c r="K74" s="4" t="s">
        <v>62</v>
      </c>
      <c r="L74" s="4" t="s">
        <v>551</v>
      </c>
      <c r="M74" s="4" t="s">
        <v>43</v>
      </c>
      <c r="N74" s="4" t="s">
        <v>44</v>
      </c>
      <c r="O74" s="4" t="s">
        <v>552</v>
      </c>
      <c r="P74" s="5" t="s">
        <v>46</v>
      </c>
    </row>
    <row r="75" customFormat="false" ht="23.85" hidden="false" customHeight="false" outlineLevel="0" collapsed="false">
      <c r="A75" s="4" t="s">
        <v>553</v>
      </c>
      <c r="B75" s="4" t="s">
        <v>530</v>
      </c>
      <c r="C75" s="4" t="s">
        <v>554</v>
      </c>
      <c r="D75" s="4" t="s">
        <v>555</v>
      </c>
      <c r="E75" s="4" t="s">
        <v>480</v>
      </c>
      <c r="F75" s="4" t="s">
        <v>556</v>
      </c>
      <c r="G75" s="4" t="s">
        <v>373</v>
      </c>
      <c r="H75" s="4" t="s">
        <v>557</v>
      </c>
      <c r="I75" s="4" t="s">
        <v>558</v>
      </c>
      <c r="J75" s="4" t="s">
        <v>93</v>
      </c>
      <c r="K75" s="4" t="s">
        <v>62</v>
      </c>
      <c r="L75" s="4" t="s">
        <v>551</v>
      </c>
      <c r="M75" s="4" t="s">
        <v>43</v>
      </c>
      <c r="N75" s="4" t="s">
        <v>312</v>
      </c>
      <c r="O75" s="4" t="s">
        <v>475</v>
      </c>
      <c r="P75" s="5" t="s">
        <v>46</v>
      </c>
    </row>
    <row r="76" customFormat="false" ht="15" hidden="false" customHeight="false" outlineLevel="0" collapsed="false">
      <c r="A76" s="4" t="s">
        <v>559</v>
      </c>
      <c r="B76" s="4" t="s">
        <v>530</v>
      </c>
      <c r="C76" s="4" t="s">
        <v>560</v>
      </c>
      <c r="D76" s="4" t="s">
        <v>561</v>
      </c>
      <c r="E76" s="4" t="s">
        <v>520</v>
      </c>
      <c r="F76" s="4" t="s">
        <v>562</v>
      </c>
      <c r="G76" s="4" t="s">
        <v>52</v>
      </c>
      <c r="H76" s="4" t="s">
        <v>45</v>
      </c>
      <c r="I76" s="4" t="s">
        <v>45</v>
      </c>
      <c r="J76" s="4" t="s">
        <v>45</v>
      </c>
      <c r="K76" s="4" t="s">
        <v>62</v>
      </c>
      <c r="L76" s="4" t="s">
        <v>42</v>
      </c>
      <c r="M76" s="4" t="s">
        <v>43</v>
      </c>
      <c r="N76" s="4" t="s">
        <v>415</v>
      </c>
      <c r="O76" s="4" t="s">
        <v>523</v>
      </c>
      <c r="P76" s="5" t="s">
        <v>46</v>
      </c>
    </row>
    <row r="77" customFormat="false" ht="15" hidden="false" customHeight="false" outlineLevel="0" collapsed="false">
      <c r="A77" s="4" t="s">
        <v>563</v>
      </c>
      <c r="B77" s="4" t="s">
        <v>530</v>
      </c>
      <c r="C77" s="4" t="s">
        <v>564</v>
      </c>
      <c r="D77" s="4" t="s">
        <v>565</v>
      </c>
      <c r="E77" s="4" t="s">
        <v>566</v>
      </c>
      <c r="F77" s="4" t="s">
        <v>567</v>
      </c>
      <c r="G77" s="4" t="s">
        <v>52</v>
      </c>
      <c r="H77" s="4" t="s">
        <v>45</v>
      </c>
      <c r="I77" s="4" t="s">
        <v>45</v>
      </c>
      <c r="J77" s="4" t="s">
        <v>45</v>
      </c>
      <c r="K77" s="4" t="s">
        <v>62</v>
      </c>
      <c r="L77" s="4" t="s">
        <v>42</v>
      </c>
      <c r="M77" s="4" t="s">
        <v>119</v>
      </c>
      <c r="N77" s="4" t="s">
        <v>415</v>
      </c>
      <c r="O77" s="4" t="s">
        <v>568</v>
      </c>
      <c r="P77" s="5" t="s">
        <v>46</v>
      </c>
    </row>
    <row r="78" customFormat="false" ht="23.85" hidden="false" customHeight="false" outlineLevel="0" collapsed="false">
      <c r="A78" s="4" t="s">
        <v>569</v>
      </c>
      <c r="B78" s="4" t="s">
        <v>530</v>
      </c>
      <c r="C78" s="4" t="s">
        <v>570</v>
      </c>
      <c r="D78" s="4" t="s">
        <v>571</v>
      </c>
      <c r="E78" s="4" t="s">
        <v>45</v>
      </c>
      <c r="F78" s="4" t="s">
        <v>572</v>
      </c>
      <c r="G78" s="4" t="s">
        <v>52</v>
      </c>
      <c r="H78" s="4" t="s">
        <v>45</v>
      </c>
      <c r="I78" s="4" t="s">
        <v>45</v>
      </c>
      <c r="J78" s="4" t="s">
        <v>45</v>
      </c>
      <c r="K78" s="4" t="s">
        <v>62</v>
      </c>
      <c r="L78" s="4" t="s">
        <v>573</v>
      </c>
      <c r="M78" s="4" t="s">
        <v>43</v>
      </c>
      <c r="N78" s="4" t="s">
        <v>415</v>
      </c>
      <c r="O78" s="4" t="s">
        <v>45</v>
      </c>
      <c r="P78" s="5" t="s">
        <v>46</v>
      </c>
    </row>
    <row r="79" customFormat="false" ht="15" hidden="false" customHeight="false" outlineLevel="0" collapsed="false">
      <c r="A79" s="4" t="s">
        <v>574</v>
      </c>
      <c r="B79" s="4" t="s">
        <v>530</v>
      </c>
      <c r="C79" s="4" t="s">
        <v>575</v>
      </c>
      <c r="D79" s="4" t="s">
        <v>576</v>
      </c>
      <c r="E79" s="4" t="s">
        <v>577</v>
      </c>
      <c r="F79" s="4" t="s">
        <v>556</v>
      </c>
      <c r="G79" s="4" t="s">
        <v>578</v>
      </c>
      <c r="H79" s="4" t="s">
        <v>579</v>
      </c>
      <c r="I79" s="4" t="s">
        <v>45</v>
      </c>
      <c r="J79" s="4" t="s">
        <v>45</v>
      </c>
      <c r="K79" s="4" t="s">
        <v>62</v>
      </c>
      <c r="L79" s="4" t="s">
        <v>42</v>
      </c>
      <c r="M79" s="4" t="s">
        <v>119</v>
      </c>
      <c r="N79" s="4" t="s">
        <v>415</v>
      </c>
      <c r="O79" s="4" t="s">
        <v>497</v>
      </c>
      <c r="P79" s="5" t="s">
        <v>46</v>
      </c>
    </row>
    <row r="80" customFormat="false" ht="15" hidden="false" customHeight="false" outlineLevel="0" collapsed="false">
      <c r="A80" s="4" t="s">
        <v>580</v>
      </c>
      <c r="B80" s="4" t="s">
        <v>530</v>
      </c>
      <c r="C80" s="4" t="s">
        <v>581</v>
      </c>
      <c r="D80" s="4" t="s">
        <v>582</v>
      </c>
      <c r="E80" s="4" t="s">
        <v>506</v>
      </c>
      <c r="F80" s="4" t="s">
        <v>583</v>
      </c>
      <c r="G80" s="4" t="s">
        <v>373</v>
      </c>
      <c r="H80" s="4" t="s">
        <v>584</v>
      </c>
      <c r="I80" s="4" t="s">
        <v>45</v>
      </c>
      <c r="J80" s="4" t="s">
        <v>45</v>
      </c>
      <c r="K80" s="4" t="s">
        <v>62</v>
      </c>
      <c r="L80" s="4" t="s">
        <v>585</v>
      </c>
      <c r="M80" s="4" t="s">
        <v>119</v>
      </c>
      <c r="N80" s="4" t="s">
        <v>44</v>
      </c>
      <c r="O80" s="4" t="s">
        <v>56</v>
      </c>
      <c r="P80" s="5" t="s">
        <v>46</v>
      </c>
    </row>
    <row r="81" customFormat="false" ht="23.85" hidden="false" customHeight="false" outlineLevel="0" collapsed="false">
      <c r="A81" s="4" t="s">
        <v>586</v>
      </c>
      <c r="B81" s="4" t="s">
        <v>530</v>
      </c>
      <c r="C81" s="4" t="s">
        <v>587</v>
      </c>
      <c r="D81" s="4" t="s">
        <v>588</v>
      </c>
      <c r="E81" s="4" t="s">
        <v>45</v>
      </c>
      <c r="F81" s="4" t="s">
        <v>589</v>
      </c>
      <c r="G81" s="4" t="s">
        <v>373</v>
      </c>
      <c r="H81" s="4" t="s">
        <v>590</v>
      </c>
      <c r="I81" s="4" t="s">
        <v>45</v>
      </c>
      <c r="J81" s="4" t="s">
        <v>45</v>
      </c>
      <c r="K81" s="4" t="s">
        <v>62</v>
      </c>
      <c r="L81" s="4" t="s">
        <v>591</v>
      </c>
      <c r="M81" s="4" t="s">
        <v>376</v>
      </c>
      <c r="N81" s="4" t="s">
        <v>415</v>
      </c>
      <c r="O81" s="4" t="s">
        <v>377</v>
      </c>
      <c r="P81" s="5" t="s">
        <v>46</v>
      </c>
    </row>
    <row r="82" customFormat="false" ht="23.85" hidden="false" customHeight="false" outlineLevel="0" collapsed="false">
      <c r="A82" s="4" t="s">
        <v>592</v>
      </c>
      <c r="B82" s="4" t="s">
        <v>593</v>
      </c>
      <c r="C82" s="4" t="s">
        <v>594</v>
      </c>
      <c r="D82" s="4" t="s">
        <v>595</v>
      </c>
      <c r="E82" s="4" t="s">
        <v>45</v>
      </c>
      <c r="F82" s="4" t="s">
        <v>596</v>
      </c>
      <c r="G82" s="4" t="s">
        <v>597</v>
      </c>
      <c r="H82" s="4" t="s">
        <v>598</v>
      </c>
      <c r="I82" s="4" t="s">
        <v>45</v>
      </c>
      <c r="J82" s="4" t="s">
        <v>45</v>
      </c>
      <c r="K82" s="4" t="s">
        <v>599</v>
      </c>
      <c r="L82" s="4" t="s">
        <v>600</v>
      </c>
      <c r="M82" s="4" t="s">
        <v>43</v>
      </c>
      <c r="N82" s="4" t="s">
        <v>415</v>
      </c>
      <c r="O82" s="4" t="s">
        <v>601</v>
      </c>
      <c r="P82" s="5" t="s">
        <v>46</v>
      </c>
    </row>
    <row r="83" customFormat="false" ht="23.85" hidden="false" customHeight="false" outlineLevel="0" collapsed="false">
      <c r="A83" s="4" t="s">
        <v>602</v>
      </c>
      <c r="B83" s="4" t="s">
        <v>603</v>
      </c>
      <c r="C83" s="4" t="s">
        <v>604</v>
      </c>
      <c r="D83" s="4" t="s">
        <v>605</v>
      </c>
      <c r="E83" s="4" t="s">
        <v>606</v>
      </c>
      <c r="F83" s="4" t="s">
        <v>607</v>
      </c>
      <c r="G83" s="4" t="s">
        <v>608</v>
      </c>
      <c r="H83" s="4" t="s">
        <v>609</v>
      </c>
      <c r="I83" s="4" t="s">
        <v>45</v>
      </c>
      <c r="J83" s="4" t="s">
        <v>45</v>
      </c>
      <c r="K83" s="4" t="s">
        <v>62</v>
      </c>
      <c r="L83" s="4" t="s">
        <v>42</v>
      </c>
      <c r="M83" s="4" t="s">
        <v>43</v>
      </c>
      <c r="N83" s="4" t="s">
        <v>610</v>
      </c>
      <c r="O83" s="4" t="s">
        <v>592</v>
      </c>
      <c r="P83" s="5" t="s">
        <v>46</v>
      </c>
    </row>
    <row r="84" customFormat="false" ht="23.85" hidden="false" customHeight="false" outlineLevel="0" collapsed="false">
      <c r="A84" s="4" t="s">
        <v>611</v>
      </c>
      <c r="B84" s="4" t="s">
        <v>603</v>
      </c>
      <c r="C84" s="4" t="s">
        <v>612</v>
      </c>
      <c r="D84" s="4" t="s">
        <v>613</v>
      </c>
      <c r="E84" s="4" t="s">
        <v>45</v>
      </c>
      <c r="F84" s="4" t="s">
        <v>614</v>
      </c>
      <c r="G84" s="4" t="s">
        <v>45</v>
      </c>
      <c r="H84" s="4" t="s">
        <v>45</v>
      </c>
      <c r="I84" s="4" t="s">
        <v>45</v>
      </c>
      <c r="J84" s="4" t="s">
        <v>45</v>
      </c>
      <c r="K84" s="4" t="s">
        <v>615</v>
      </c>
      <c r="L84" s="4" t="s">
        <v>42</v>
      </c>
      <c r="M84" s="4" t="s">
        <v>43</v>
      </c>
      <c r="N84" s="4" t="s">
        <v>610</v>
      </c>
      <c r="O84" s="4" t="s">
        <v>602</v>
      </c>
      <c r="P84" s="5" t="s">
        <v>46</v>
      </c>
    </row>
    <row r="85" customFormat="false" ht="23.85" hidden="false" customHeight="false" outlineLevel="0" collapsed="false">
      <c r="A85" s="4" t="s">
        <v>616</v>
      </c>
      <c r="B85" s="4" t="s">
        <v>617</v>
      </c>
      <c r="C85" s="4" t="s">
        <v>618</v>
      </c>
      <c r="D85" s="4" t="s">
        <v>619</v>
      </c>
      <c r="E85" s="4" t="s">
        <v>620</v>
      </c>
      <c r="F85" s="4" t="s">
        <v>621</v>
      </c>
      <c r="G85" s="4" t="s">
        <v>622</v>
      </c>
      <c r="H85" s="4" t="s">
        <v>623</v>
      </c>
      <c r="I85" s="4" t="s">
        <v>536</v>
      </c>
      <c r="J85" s="4" t="s">
        <v>93</v>
      </c>
      <c r="K85" s="4" t="s">
        <v>62</v>
      </c>
      <c r="L85" s="4" t="s">
        <v>624</v>
      </c>
      <c r="M85" s="4" t="s">
        <v>625</v>
      </c>
      <c r="N85" s="4" t="s">
        <v>610</v>
      </c>
      <c r="O85" s="4" t="s">
        <v>626</v>
      </c>
      <c r="P85" s="5" t="s">
        <v>46</v>
      </c>
    </row>
    <row r="86" customFormat="false" ht="23.85" hidden="false" customHeight="false" outlineLevel="0" collapsed="false">
      <c r="A86" s="4" t="s">
        <v>627</v>
      </c>
      <c r="B86" s="4" t="s">
        <v>617</v>
      </c>
      <c r="C86" s="4" t="s">
        <v>628</v>
      </c>
      <c r="D86" s="4" t="s">
        <v>629</v>
      </c>
      <c r="E86" s="4" t="s">
        <v>45</v>
      </c>
      <c r="F86" s="4" t="s">
        <v>630</v>
      </c>
      <c r="G86" s="4" t="s">
        <v>373</v>
      </c>
      <c r="H86" s="4" t="s">
        <v>631</v>
      </c>
      <c r="I86" s="4" t="s">
        <v>45</v>
      </c>
      <c r="J86" s="4" t="s">
        <v>45</v>
      </c>
      <c r="K86" s="4" t="s">
        <v>62</v>
      </c>
      <c r="L86" s="4" t="s">
        <v>551</v>
      </c>
      <c r="M86" s="4" t="s">
        <v>625</v>
      </c>
      <c r="N86" s="4" t="s">
        <v>610</v>
      </c>
      <c r="O86" s="4" t="s">
        <v>616</v>
      </c>
      <c r="P86" s="5" t="s">
        <v>46</v>
      </c>
    </row>
  </sheetData>
  <autoFilter ref="A1:P86"/>
  <dataValidations count="2">
    <dataValidation allowBlank="false" errorStyle="stop" operator="between" showDropDown="false" showErrorMessage="false" showInputMessage="false" sqref="P2:P86" type="list">
      <formula1>"Not started,In progress,Done,Blocked"</formula1>
      <formula2>0</formula2>
    </dataValidation>
    <dataValidation allowBlank="false" errorStyle="stop" operator="between" showDropDown="false" showErrorMessage="false" showInputMessage="false" sqref="M2:M86" type="list">
      <formula1>"P0,P1,P2,OPT"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8"/>
    <col collapsed="false" customWidth="true" hidden="false" outlineLevel="0" max="3" min="3" style="0" width="26"/>
    <col collapsed="false" customWidth="true" hidden="false" outlineLevel="0" max="4" min="4" style="0" width="34"/>
    <col collapsed="false" customWidth="true" hidden="false" outlineLevel="0" max="5" min="5" style="0" width="16"/>
    <col collapsed="false" customWidth="true" hidden="false" outlineLevel="0" max="6" min="6" style="0" width="60"/>
  </cols>
  <sheetData>
    <row r="1" customFormat="false" ht="30" hidden="false" customHeight="true" outlineLevel="0" collapsed="false">
      <c r="A1" s="3" t="s">
        <v>632</v>
      </c>
      <c r="B1" s="3" t="s">
        <v>633</v>
      </c>
      <c r="C1" s="3" t="s">
        <v>634</v>
      </c>
      <c r="D1" s="3" t="s">
        <v>635</v>
      </c>
      <c r="E1" s="3" t="s">
        <v>636</v>
      </c>
      <c r="F1" s="3" t="s">
        <v>637</v>
      </c>
    </row>
    <row r="2" customFormat="false" ht="15" hidden="false" customHeight="false" outlineLevel="0" collapsed="false">
      <c r="A2" s="4" t="s">
        <v>638</v>
      </c>
      <c r="B2" s="4" t="s">
        <v>639</v>
      </c>
      <c r="C2" s="4" t="s">
        <v>640</v>
      </c>
      <c r="D2" s="4" t="s">
        <v>641</v>
      </c>
      <c r="E2" s="4" t="s">
        <v>642</v>
      </c>
      <c r="F2" s="4" t="s">
        <v>643</v>
      </c>
    </row>
    <row r="3" customFormat="false" ht="15" hidden="false" customHeight="false" outlineLevel="0" collapsed="false">
      <c r="A3" s="4" t="s">
        <v>52</v>
      </c>
      <c r="B3" s="4" t="s">
        <v>644</v>
      </c>
      <c r="C3" s="4" t="s">
        <v>645</v>
      </c>
      <c r="D3" s="4" t="s">
        <v>646</v>
      </c>
      <c r="E3" s="4" t="s">
        <v>647</v>
      </c>
      <c r="F3" s="4" t="s">
        <v>648</v>
      </c>
    </row>
    <row r="4" customFormat="false" ht="15" hidden="false" customHeight="false" outlineLevel="0" collapsed="false">
      <c r="A4" s="4" t="s">
        <v>649</v>
      </c>
      <c r="B4" s="4" t="s">
        <v>650</v>
      </c>
      <c r="C4" s="4" t="s">
        <v>651</v>
      </c>
      <c r="D4" s="4" t="s">
        <v>652</v>
      </c>
      <c r="E4" s="4" t="s">
        <v>653</v>
      </c>
      <c r="F4" s="4" t="s">
        <v>654</v>
      </c>
    </row>
    <row r="5" customFormat="false" ht="15" hidden="false" customHeight="false" outlineLevel="0" collapsed="false">
      <c r="A5" s="4" t="s">
        <v>655</v>
      </c>
      <c r="B5" s="4" t="s">
        <v>656</v>
      </c>
      <c r="C5" s="4" t="s">
        <v>517</v>
      </c>
      <c r="D5" s="4" t="s">
        <v>652</v>
      </c>
      <c r="E5" s="4" t="s">
        <v>657</v>
      </c>
      <c r="F5" s="4" t="s">
        <v>658</v>
      </c>
    </row>
    <row r="6" customFormat="false" ht="23.85" hidden="false" customHeight="false" outlineLevel="0" collapsed="false">
      <c r="A6" s="4" t="s">
        <v>489</v>
      </c>
      <c r="B6" s="4" t="s">
        <v>659</v>
      </c>
      <c r="C6" s="4" t="s">
        <v>660</v>
      </c>
      <c r="D6" s="4" t="s">
        <v>661</v>
      </c>
      <c r="E6" s="4" t="s">
        <v>476</v>
      </c>
      <c r="F6" s="4" t="s">
        <v>662</v>
      </c>
    </row>
    <row r="7" customFormat="false" ht="23.85" hidden="false" customHeight="false" outlineLevel="0" collapsed="false">
      <c r="A7" s="4" t="s">
        <v>663</v>
      </c>
      <c r="B7" s="4" t="s">
        <v>664</v>
      </c>
      <c r="C7" s="4" t="s">
        <v>428</v>
      </c>
      <c r="D7" s="4" t="s">
        <v>665</v>
      </c>
      <c r="E7" s="4" t="s">
        <v>666</v>
      </c>
      <c r="F7" s="4" t="s">
        <v>667</v>
      </c>
    </row>
    <row r="8" customFormat="false" ht="23.85" hidden="false" customHeight="false" outlineLevel="0" collapsed="false">
      <c r="A8" s="4" t="s">
        <v>668</v>
      </c>
      <c r="B8" s="4" t="s">
        <v>669</v>
      </c>
      <c r="C8" s="4" t="s">
        <v>670</v>
      </c>
      <c r="D8" s="4" t="s">
        <v>671</v>
      </c>
      <c r="E8" s="4" t="s">
        <v>672</v>
      </c>
      <c r="F8" s="4" t="s">
        <v>673</v>
      </c>
    </row>
    <row r="9" customFormat="false" ht="15" hidden="false" customHeight="false" outlineLevel="0" collapsed="false">
      <c r="A9" s="4" t="s">
        <v>170</v>
      </c>
      <c r="B9" s="4" t="s">
        <v>674</v>
      </c>
      <c r="C9" s="4" t="s">
        <v>675</v>
      </c>
      <c r="D9" s="4" t="s">
        <v>652</v>
      </c>
      <c r="E9" s="4" t="s">
        <v>676</v>
      </c>
      <c r="F9" s="4" t="s">
        <v>677</v>
      </c>
    </row>
    <row r="10" customFormat="false" ht="15" hidden="false" customHeight="false" outlineLevel="0" collapsed="false">
      <c r="A10" s="4" t="s">
        <v>678</v>
      </c>
      <c r="B10" s="4" t="s">
        <v>679</v>
      </c>
      <c r="C10" s="4" t="s">
        <v>680</v>
      </c>
      <c r="D10" s="4" t="s">
        <v>646</v>
      </c>
      <c r="E10" s="4" t="s">
        <v>681</v>
      </c>
      <c r="F10" s="4" t="s">
        <v>682</v>
      </c>
    </row>
    <row r="11" customFormat="false" ht="15" hidden="false" customHeight="false" outlineLevel="0" collapsed="false">
      <c r="A11" s="4" t="s">
        <v>683</v>
      </c>
      <c r="B11" s="4" t="s">
        <v>684</v>
      </c>
      <c r="C11" s="4" t="s">
        <v>56</v>
      </c>
      <c r="D11" s="4" t="s">
        <v>652</v>
      </c>
      <c r="E11" s="4" t="s">
        <v>685</v>
      </c>
      <c r="F11" s="4" t="s">
        <v>686</v>
      </c>
    </row>
    <row r="12" customFormat="false" ht="15" hidden="false" customHeight="false" outlineLevel="0" collapsed="false">
      <c r="A12" s="4" t="s">
        <v>687</v>
      </c>
      <c r="B12" s="4" t="s">
        <v>688</v>
      </c>
      <c r="C12" s="4" t="s">
        <v>689</v>
      </c>
      <c r="D12" s="4" t="s">
        <v>652</v>
      </c>
      <c r="E12" s="4" t="s">
        <v>690</v>
      </c>
      <c r="F12" s="4" t="s">
        <v>691</v>
      </c>
    </row>
    <row r="13" customFormat="false" ht="15" hidden="false" customHeight="false" outlineLevel="0" collapsed="false">
      <c r="A13" s="4" t="s">
        <v>692</v>
      </c>
      <c r="B13" s="4" t="s">
        <v>693</v>
      </c>
      <c r="C13" s="4" t="s">
        <v>64</v>
      </c>
      <c r="D13" s="4" t="s">
        <v>694</v>
      </c>
      <c r="E13" s="4" t="s">
        <v>695</v>
      </c>
      <c r="F13" s="4" t="s">
        <v>696</v>
      </c>
    </row>
    <row r="14" customFormat="false" ht="23.85" hidden="false" customHeight="false" outlineLevel="0" collapsed="false">
      <c r="A14" s="4" t="s">
        <v>697</v>
      </c>
      <c r="B14" s="4" t="s">
        <v>698</v>
      </c>
      <c r="C14" s="4" t="s">
        <v>56</v>
      </c>
      <c r="D14" s="4" t="s">
        <v>694</v>
      </c>
      <c r="E14" s="4" t="s">
        <v>699</v>
      </c>
      <c r="F14" s="4" t="s">
        <v>700</v>
      </c>
    </row>
    <row r="15" customFormat="false" ht="23.85" hidden="false" customHeight="false" outlineLevel="0" collapsed="false">
      <c r="A15" s="4" t="s">
        <v>701</v>
      </c>
      <c r="B15" s="4" t="s">
        <v>702</v>
      </c>
      <c r="C15" s="4" t="s">
        <v>703</v>
      </c>
      <c r="D15" s="4" t="s">
        <v>704</v>
      </c>
      <c r="E15" s="4" t="s">
        <v>705</v>
      </c>
      <c r="F15" s="4" t="s">
        <v>706</v>
      </c>
    </row>
    <row r="16" customFormat="false" ht="15" hidden="false" customHeight="false" outlineLevel="0" collapsed="false">
      <c r="A16" s="4" t="s">
        <v>707</v>
      </c>
      <c r="B16" s="4" t="s">
        <v>708</v>
      </c>
      <c r="C16" s="4" t="s">
        <v>378</v>
      </c>
      <c r="D16" s="4" t="s">
        <v>709</v>
      </c>
      <c r="E16" s="4" t="s">
        <v>710</v>
      </c>
      <c r="F16" s="4" t="s">
        <v>711</v>
      </c>
    </row>
    <row r="17" customFormat="false" ht="15" hidden="false" customHeight="false" outlineLevel="0" collapsed="false">
      <c r="A17" s="4" t="s">
        <v>712</v>
      </c>
      <c r="B17" s="4" t="s">
        <v>713</v>
      </c>
      <c r="C17" s="4" t="s">
        <v>714</v>
      </c>
      <c r="D17" s="4" t="s">
        <v>715</v>
      </c>
      <c r="E17" s="4" t="s">
        <v>716</v>
      </c>
      <c r="F17" s="4" t="s">
        <v>717</v>
      </c>
    </row>
    <row r="18" customFormat="false" ht="15" hidden="false" customHeight="false" outlineLevel="0" collapsed="false">
      <c r="A18" s="4" t="s">
        <v>718</v>
      </c>
      <c r="B18" s="4" t="s">
        <v>719</v>
      </c>
      <c r="C18" s="4" t="s">
        <v>627</v>
      </c>
      <c r="D18" s="4" t="s">
        <v>715</v>
      </c>
      <c r="E18" s="4" t="s">
        <v>720</v>
      </c>
      <c r="F18" s="4" t="s">
        <v>721</v>
      </c>
    </row>
  </sheetData>
  <autoFilter ref="A1:F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6"/>
    <col collapsed="false" customWidth="true" hidden="false" outlineLevel="0" max="3" min="3" style="0" width="58"/>
    <col collapsed="false" customWidth="true" hidden="false" outlineLevel="0" max="5" min="4" style="0" width="18"/>
    <col collapsed="false" customWidth="true" hidden="false" outlineLevel="0" max="6" min="6" style="0" width="30"/>
    <col collapsed="false" customWidth="true" hidden="false" outlineLevel="0" max="7" min="7" style="0" width="20"/>
    <col collapsed="false" customWidth="true" hidden="false" outlineLevel="0" max="8" min="8" style="0" width="30"/>
  </cols>
  <sheetData>
    <row r="1" customFormat="false" ht="30" hidden="false" customHeight="true" outlineLevel="0" collapsed="false">
      <c r="A1" s="3" t="s">
        <v>722</v>
      </c>
      <c r="B1" s="3" t="s">
        <v>723</v>
      </c>
      <c r="C1" s="3" t="s">
        <v>724</v>
      </c>
      <c r="D1" s="3" t="s">
        <v>725</v>
      </c>
      <c r="E1" s="3" t="s">
        <v>726</v>
      </c>
      <c r="F1" s="3" t="s">
        <v>727</v>
      </c>
      <c r="G1" s="3" t="s">
        <v>728</v>
      </c>
      <c r="H1" s="3" t="s">
        <v>729</v>
      </c>
    </row>
    <row r="2" customFormat="false" ht="23.85" hidden="false" customHeight="false" outlineLevel="0" collapsed="false">
      <c r="A2" s="4" t="s">
        <v>730</v>
      </c>
      <c r="B2" s="4" t="s">
        <v>731</v>
      </c>
      <c r="C2" s="4" t="s">
        <v>732</v>
      </c>
      <c r="D2" s="4" t="s">
        <v>733</v>
      </c>
      <c r="E2" s="4" t="s">
        <v>45</v>
      </c>
      <c r="F2" s="4" t="s">
        <v>734</v>
      </c>
      <c r="G2" s="4" t="s">
        <v>735</v>
      </c>
      <c r="H2" s="4" t="s">
        <v>736</v>
      </c>
    </row>
    <row r="3" customFormat="false" ht="15" hidden="false" customHeight="false" outlineLevel="0" collapsed="false">
      <c r="A3" s="4" t="s">
        <v>737</v>
      </c>
      <c r="B3" s="4" t="s">
        <v>738</v>
      </c>
      <c r="C3" s="4" t="s">
        <v>739</v>
      </c>
      <c r="D3" s="4" t="s">
        <v>740</v>
      </c>
      <c r="E3" s="4" t="s">
        <v>45</v>
      </c>
      <c r="F3" s="4" t="s">
        <v>741</v>
      </c>
      <c r="G3" s="4" t="s">
        <v>742</v>
      </c>
      <c r="H3" s="4" t="s">
        <v>743</v>
      </c>
    </row>
    <row r="4" customFormat="false" ht="23.85" hidden="false" customHeight="false" outlineLevel="0" collapsed="false">
      <c r="A4" s="4" t="s">
        <v>744</v>
      </c>
      <c r="B4" s="4" t="s">
        <v>745</v>
      </c>
      <c r="C4" s="4" t="s">
        <v>746</v>
      </c>
      <c r="D4" s="4" t="s">
        <v>747</v>
      </c>
      <c r="E4" s="4" t="s">
        <v>45</v>
      </c>
      <c r="F4" s="4" t="s">
        <v>748</v>
      </c>
      <c r="G4" s="4" t="s">
        <v>749</v>
      </c>
      <c r="H4" s="4" t="s">
        <v>750</v>
      </c>
    </row>
    <row r="5" customFormat="false" ht="15" hidden="false" customHeight="false" outlineLevel="0" collapsed="false">
      <c r="A5" s="4" t="s">
        <v>751</v>
      </c>
      <c r="B5" s="4" t="s">
        <v>745</v>
      </c>
      <c r="C5" s="4" t="s">
        <v>752</v>
      </c>
      <c r="D5" s="4" t="s">
        <v>753</v>
      </c>
      <c r="E5" s="4" t="s">
        <v>754</v>
      </c>
      <c r="F5" s="4" t="s">
        <v>755</v>
      </c>
      <c r="G5" s="4" t="s">
        <v>756</v>
      </c>
      <c r="H5" s="4" t="s">
        <v>743</v>
      </c>
    </row>
    <row r="6" customFormat="false" ht="15" hidden="false" customHeight="false" outlineLevel="0" collapsed="false">
      <c r="A6" s="4" t="s">
        <v>757</v>
      </c>
      <c r="B6" s="4" t="s">
        <v>758</v>
      </c>
      <c r="C6" s="4" t="s">
        <v>759</v>
      </c>
      <c r="D6" s="4" t="s">
        <v>760</v>
      </c>
      <c r="E6" s="4" t="s">
        <v>761</v>
      </c>
      <c r="F6" s="4" t="s">
        <v>762</v>
      </c>
      <c r="G6" s="4" t="s">
        <v>763</v>
      </c>
      <c r="H6" s="4" t="s">
        <v>764</v>
      </c>
    </row>
    <row r="7" customFormat="false" ht="15" hidden="false" customHeight="false" outlineLevel="0" collapsed="false">
      <c r="A7" s="4" t="s">
        <v>765</v>
      </c>
      <c r="B7" s="4" t="s">
        <v>766</v>
      </c>
      <c r="C7" s="4" t="s">
        <v>767</v>
      </c>
      <c r="D7" s="4" t="s">
        <v>768</v>
      </c>
      <c r="E7" s="4" t="s">
        <v>769</v>
      </c>
      <c r="F7" s="4" t="s">
        <v>770</v>
      </c>
      <c r="G7" s="4" t="s">
        <v>771</v>
      </c>
      <c r="H7" s="4" t="s">
        <v>743</v>
      </c>
    </row>
    <row r="8" customFormat="false" ht="15" hidden="false" customHeight="false" outlineLevel="0" collapsed="false">
      <c r="A8" s="4" t="s">
        <v>772</v>
      </c>
      <c r="B8" s="4" t="s">
        <v>773</v>
      </c>
      <c r="C8" s="4" t="s">
        <v>774</v>
      </c>
      <c r="D8" s="4" t="s">
        <v>775</v>
      </c>
      <c r="E8" s="4" t="s">
        <v>776</v>
      </c>
      <c r="F8" s="4" t="s">
        <v>777</v>
      </c>
      <c r="G8" s="4" t="s">
        <v>778</v>
      </c>
      <c r="H8" s="4" t="s">
        <v>743</v>
      </c>
    </row>
    <row r="9" customFormat="false" ht="23.85" hidden="false" customHeight="false" outlineLevel="0" collapsed="false">
      <c r="A9" s="4" t="s">
        <v>779</v>
      </c>
      <c r="B9" s="4" t="s">
        <v>780</v>
      </c>
      <c r="C9" s="4" t="s">
        <v>781</v>
      </c>
      <c r="D9" s="4" t="s">
        <v>782</v>
      </c>
      <c r="E9" s="4" t="s">
        <v>783</v>
      </c>
      <c r="F9" s="4" t="s">
        <v>784</v>
      </c>
      <c r="G9" s="4" t="s">
        <v>398</v>
      </c>
      <c r="H9" s="4" t="s">
        <v>743</v>
      </c>
    </row>
    <row r="10" customFormat="false" ht="15" hidden="false" customHeight="false" outlineLevel="0" collapsed="false">
      <c r="A10" s="4" t="s">
        <v>785</v>
      </c>
      <c r="B10" s="4" t="s">
        <v>786</v>
      </c>
      <c r="C10" s="4" t="s">
        <v>787</v>
      </c>
      <c r="D10" s="4" t="s">
        <v>788</v>
      </c>
      <c r="E10" s="4" t="s">
        <v>789</v>
      </c>
      <c r="F10" s="4" t="s">
        <v>790</v>
      </c>
      <c r="G10" s="4" t="s">
        <v>791</v>
      </c>
      <c r="H10" s="4" t="s">
        <v>777</v>
      </c>
    </row>
    <row r="11" customFormat="false" ht="15" hidden="false" customHeight="false" outlineLevel="0" collapsed="false">
      <c r="A11" s="4" t="s">
        <v>792</v>
      </c>
      <c r="B11" s="4" t="s">
        <v>731</v>
      </c>
      <c r="C11" s="4" t="s">
        <v>793</v>
      </c>
      <c r="D11" s="4" t="s">
        <v>788</v>
      </c>
      <c r="E11" s="4" t="s">
        <v>794</v>
      </c>
      <c r="F11" s="4" t="s">
        <v>795</v>
      </c>
      <c r="G11" s="4" t="s">
        <v>114</v>
      </c>
      <c r="H11" s="4" t="s">
        <v>777</v>
      </c>
    </row>
    <row r="12" customFormat="false" ht="15" hidden="false" customHeight="false" outlineLevel="0" collapsed="false">
      <c r="A12" s="4" t="s">
        <v>796</v>
      </c>
      <c r="B12" s="4" t="s">
        <v>797</v>
      </c>
      <c r="C12" s="4" t="s">
        <v>798</v>
      </c>
      <c r="D12" s="4" t="s">
        <v>733</v>
      </c>
      <c r="E12" s="4" t="s">
        <v>799</v>
      </c>
      <c r="F12" s="4" t="s">
        <v>777</v>
      </c>
      <c r="G12" s="4" t="s">
        <v>130</v>
      </c>
      <c r="H12" s="4" t="s">
        <v>777</v>
      </c>
    </row>
    <row r="13" customFormat="false" ht="23.85" hidden="false" customHeight="false" outlineLevel="0" collapsed="false">
      <c r="A13" s="4" t="s">
        <v>800</v>
      </c>
      <c r="B13" s="4" t="s">
        <v>801</v>
      </c>
      <c r="C13" s="4" t="s">
        <v>802</v>
      </c>
      <c r="D13" s="4" t="s">
        <v>803</v>
      </c>
      <c r="E13" s="4" t="s">
        <v>45</v>
      </c>
      <c r="F13" s="4" t="s">
        <v>777</v>
      </c>
      <c r="G13" s="4" t="s">
        <v>120</v>
      </c>
      <c r="H13" s="4" t="s">
        <v>777</v>
      </c>
    </row>
    <row r="14" customFormat="false" ht="23.85" hidden="false" customHeight="false" outlineLevel="0" collapsed="false">
      <c r="A14" s="4" t="s">
        <v>804</v>
      </c>
      <c r="B14" s="4" t="s">
        <v>805</v>
      </c>
      <c r="C14" s="4" t="s">
        <v>806</v>
      </c>
      <c r="D14" s="4" t="s">
        <v>419</v>
      </c>
      <c r="E14" s="4" t="s">
        <v>807</v>
      </c>
      <c r="F14" s="4" t="s">
        <v>808</v>
      </c>
      <c r="G14" s="4" t="s">
        <v>809</v>
      </c>
      <c r="H14" s="4" t="s">
        <v>810</v>
      </c>
    </row>
    <row r="15" customFormat="false" ht="23.85" hidden="false" customHeight="false" outlineLevel="0" collapsed="false">
      <c r="A15" s="4" t="s">
        <v>811</v>
      </c>
      <c r="B15" s="4" t="s">
        <v>812</v>
      </c>
      <c r="C15" s="4" t="s">
        <v>813</v>
      </c>
      <c r="D15" s="4" t="s">
        <v>747</v>
      </c>
      <c r="E15" s="4" t="s">
        <v>814</v>
      </c>
      <c r="F15" s="4" t="s">
        <v>815</v>
      </c>
      <c r="G15" s="4" t="s">
        <v>816</v>
      </c>
      <c r="H15" s="4" t="s">
        <v>367</v>
      </c>
    </row>
    <row r="16" customFormat="false" ht="15" hidden="false" customHeight="false" outlineLevel="0" collapsed="false">
      <c r="A16" s="4" t="s">
        <v>817</v>
      </c>
      <c r="B16" s="4" t="s">
        <v>373</v>
      </c>
      <c r="C16" s="4" t="s">
        <v>818</v>
      </c>
      <c r="D16" s="4" t="s">
        <v>819</v>
      </c>
      <c r="E16" s="4" t="s">
        <v>820</v>
      </c>
      <c r="F16" s="4" t="s">
        <v>821</v>
      </c>
      <c r="G16" s="4" t="s">
        <v>378</v>
      </c>
      <c r="H16" s="4" t="s">
        <v>822</v>
      </c>
    </row>
    <row r="17" customFormat="false" ht="23.85" hidden="false" customHeight="false" outlineLevel="0" collapsed="false">
      <c r="A17" s="4" t="s">
        <v>823</v>
      </c>
      <c r="B17" s="4" t="s">
        <v>824</v>
      </c>
      <c r="C17" s="4" t="s">
        <v>825</v>
      </c>
      <c r="D17" s="4" t="s">
        <v>454</v>
      </c>
      <c r="E17" s="4" t="s">
        <v>45</v>
      </c>
      <c r="F17" s="4" t="s">
        <v>826</v>
      </c>
      <c r="G17" s="4" t="s">
        <v>827</v>
      </c>
      <c r="H17" s="4" t="s">
        <v>45</v>
      </c>
    </row>
  </sheetData>
  <autoFilter ref="A1:H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2"/>
    <col collapsed="false" customWidth="true" hidden="false" outlineLevel="0" max="3" min="3" style="0" width="40"/>
    <col collapsed="false" customWidth="true" hidden="false" outlineLevel="0" max="4" min="4" style="0" width="62"/>
    <col collapsed="false" customWidth="true" hidden="false" outlineLevel="0" max="5" min="5" style="0" width="44"/>
  </cols>
  <sheetData>
    <row r="1" customFormat="false" ht="30" hidden="false" customHeight="true" outlineLevel="0" collapsed="false">
      <c r="A1" s="3" t="s">
        <v>828</v>
      </c>
      <c r="B1" s="3" t="s">
        <v>829</v>
      </c>
      <c r="C1" s="3" t="s">
        <v>830</v>
      </c>
      <c r="D1" s="3" t="s">
        <v>831</v>
      </c>
      <c r="E1" s="3" t="s">
        <v>832</v>
      </c>
    </row>
    <row r="2" customFormat="false" ht="23.85" hidden="false" customHeight="false" outlineLevel="0" collapsed="false">
      <c r="A2" s="4" t="s">
        <v>833</v>
      </c>
      <c r="B2" s="4" t="s">
        <v>834</v>
      </c>
      <c r="C2" s="4" t="s">
        <v>835</v>
      </c>
      <c r="D2" s="4" t="s">
        <v>836</v>
      </c>
      <c r="E2" s="4" t="s">
        <v>837</v>
      </c>
    </row>
    <row r="3" customFormat="false" ht="15" hidden="false" customHeight="false" outlineLevel="0" collapsed="false">
      <c r="A3" s="4" t="s">
        <v>833</v>
      </c>
      <c r="B3" s="4" t="s">
        <v>838</v>
      </c>
      <c r="C3" s="4" t="s">
        <v>839</v>
      </c>
      <c r="D3" s="4" t="s">
        <v>840</v>
      </c>
      <c r="E3" s="4" t="s">
        <v>837</v>
      </c>
    </row>
    <row r="4" customFormat="false" ht="15" hidden="false" customHeight="false" outlineLevel="0" collapsed="false">
      <c r="A4" s="4" t="s">
        <v>833</v>
      </c>
      <c r="B4" s="4" t="s">
        <v>841</v>
      </c>
      <c r="C4" s="4" t="s">
        <v>842</v>
      </c>
      <c r="D4" s="4" t="s">
        <v>843</v>
      </c>
      <c r="E4" s="4" t="s">
        <v>844</v>
      </c>
    </row>
    <row r="5" customFormat="false" ht="15" hidden="false" customHeight="false" outlineLevel="0" collapsed="false">
      <c r="A5" s="4" t="s">
        <v>833</v>
      </c>
      <c r="B5" s="4" t="s">
        <v>845</v>
      </c>
      <c r="C5" s="4" t="s">
        <v>846</v>
      </c>
      <c r="D5" s="4" t="s">
        <v>847</v>
      </c>
      <c r="E5" s="4" t="s">
        <v>848</v>
      </c>
    </row>
    <row r="6" customFormat="false" ht="23.85" hidden="false" customHeight="false" outlineLevel="0" collapsed="false">
      <c r="A6" s="4" t="s">
        <v>849</v>
      </c>
      <c r="B6" s="4" t="s">
        <v>850</v>
      </c>
      <c r="C6" s="4" t="s">
        <v>851</v>
      </c>
      <c r="D6" s="4" t="s">
        <v>852</v>
      </c>
      <c r="E6" s="4" t="s">
        <v>837</v>
      </c>
    </row>
    <row r="7" customFormat="false" ht="23.85" hidden="false" customHeight="false" outlineLevel="0" collapsed="false">
      <c r="A7" s="4" t="s">
        <v>853</v>
      </c>
      <c r="B7" s="4" t="s">
        <v>854</v>
      </c>
      <c r="C7" s="4" t="s">
        <v>855</v>
      </c>
      <c r="D7" s="4" t="s">
        <v>856</v>
      </c>
      <c r="E7" s="4" t="s">
        <v>857</v>
      </c>
    </row>
    <row r="8" customFormat="false" ht="23.85" hidden="false" customHeight="false" outlineLevel="0" collapsed="false">
      <c r="A8" s="4" t="s">
        <v>858</v>
      </c>
      <c r="B8" s="4" t="s">
        <v>859</v>
      </c>
      <c r="C8" s="4" t="s">
        <v>855</v>
      </c>
      <c r="D8" s="4" t="s">
        <v>860</v>
      </c>
      <c r="E8" s="4" t="s">
        <v>837</v>
      </c>
    </row>
    <row r="9" customFormat="false" ht="15" hidden="false" customHeight="false" outlineLevel="0" collapsed="false">
      <c r="A9" s="4" t="s">
        <v>861</v>
      </c>
      <c r="B9" s="4" t="s">
        <v>862</v>
      </c>
      <c r="C9" s="4" t="s">
        <v>855</v>
      </c>
      <c r="D9" s="4" t="s">
        <v>863</v>
      </c>
      <c r="E9" s="4" t="s">
        <v>837</v>
      </c>
    </row>
    <row r="10" customFormat="false" ht="23.85" hidden="false" customHeight="false" outlineLevel="0" collapsed="false">
      <c r="A10" s="4" t="s">
        <v>864</v>
      </c>
      <c r="B10" s="4" t="s">
        <v>865</v>
      </c>
      <c r="C10" s="4" t="s">
        <v>855</v>
      </c>
      <c r="D10" s="4" t="s">
        <v>866</v>
      </c>
      <c r="E10" s="4" t="s">
        <v>867</v>
      </c>
    </row>
    <row r="11" customFormat="false" ht="15" hidden="false" customHeight="false" outlineLevel="0" collapsed="false">
      <c r="A11" s="4" t="s">
        <v>868</v>
      </c>
      <c r="B11" s="4" t="s">
        <v>869</v>
      </c>
      <c r="C11" s="4" t="s">
        <v>855</v>
      </c>
      <c r="D11" s="4" t="s">
        <v>870</v>
      </c>
      <c r="E11" s="4" t="s">
        <v>837</v>
      </c>
    </row>
    <row r="12" customFormat="false" ht="23.85" hidden="false" customHeight="false" outlineLevel="0" collapsed="false">
      <c r="A12" s="4" t="s">
        <v>668</v>
      </c>
      <c r="B12" s="4" t="s">
        <v>871</v>
      </c>
      <c r="C12" s="4" t="s">
        <v>872</v>
      </c>
      <c r="D12" s="4" t="s">
        <v>873</v>
      </c>
      <c r="E12" s="4" t="s">
        <v>874</v>
      </c>
    </row>
    <row r="13" customFormat="false" ht="23.85" hidden="false" customHeight="false" outlineLevel="0" collapsed="false">
      <c r="A13" s="4" t="s">
        <v>875</v>
      </c>
      <c r="B13" s="4" t="s">
        <v>876</v>
      </c>
      <c r="C13" s="4" t="s">
        <v>877</v>
      </c>
      <c r="D13" s="4" t="s">
        <v>878</v>
      </c>
      <c r="E13" s="4" t="s">
        <v>879</v>
      </c>
    </row>
    <row r="14" customFormat="false" ht="23.85" hidden="false" customHeight="false" outlineLevel="0" collapsed="false">
      <c r="A14" s="4" t="s">
        <v>663</v>
      </c>
      <c r="B14" s="4" t="s">
        <v>880</v>
      </c>
      <c r="C14" s="4" t="s">
        <v>881</v>
      </c>
      <c r="D14" s="4" t="s">
        <v>882</v>
      </c>
      <c r="E14" s="4" t="s">
        <v>883</v>
      </c>
    </row>
    <row r="15" customFormat="false" ht="15" hidden="false" customHeight="false" outlineLevel="0" collapsed="false">
      <c r="A15" s="4" t="s">
        <v>884</v>
      </c>
      <c r="B15" s="4" t="s">
        <v>885</v>
      </c>
      <c r="C15" s="4" t="s">
        <v>886</v>
      </c>
      <c r="D15" s="4" t="s">
        <v>887</v>
      </c>
      <c r="E15" s="4" t="s">
        <v>837</v>
      </c>
    </row>
    <row r="16" customFormat="false" ht="23.85" hidden="false" customHeight="false" outlineLevel="0" collapsed="false">
      <c r="A16" s="4" t="s">
        <v>888</v>
      </c>
      <c r="B16" s="4" t="s">
        <v>889</v>
      </c>
      <c r="C16" s="4" t="s">
        <v>886</v>
      </c>
      <c r="D16" s="4" t="s">
        <v>890</v>
      </c>
      <c r="E16" s="4" t="s">
        <v>891</v>
      </c>
    </row>
  </sheetData>
  <autoFilter ref="A1:E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0"/>
    <col collapsed="false" customWidth="true" hidden="false" outlineLevel="0" max="3" min="3" style="0" width="70"/>
    <col collapsed="false" customWidth="true" hidden="false" outlineLevel="0" max="5" min="4" style="0" width="18"/>
    <col collapsed="false" customWidth="true" hidden="false" outlineLevel="0" max="6" min="6" style="0" width="10"/>
  </cols>
  <sheetData>
    <row r="1" customFormat="false" ht="30" hidden="false" customHeight="true" outlineLevel="0" collapsed="false">
      <c r="A1" s="3" t="s">
        <v>892</v>
      </c>
      <c r="B1" s="3" t="s">
        <v>893</v>
      </c>
      <c r="C1" s="3" t="s">
        <v>894</v>
      </c>
      <c r="D1" s="3" t="s">
        <v>895</v>
      </c>
      <c r="E1" s="3" t="s">
        <v>896</v>
      </c>
      <c r="F1" s="3" t="s">
        <v>897</v>
      </c>
    </row>
    <row r="2" customFormat="false" ht="23.85" hidden="false" customHeight="false" outlineLevel="0" collapsed="false">
      <c r="A2" s="4" t="s">
        <v>898</v>
      </c>
      <c r="B2" s="4" t="s">
        <v>899</v>
      </c>
      <c r="C2" s="4" t="s">
        <v>900</v>
      </c>
      <c r="D2" s="4" t="n">
        <f aca="false">COUNTIFS(Components!$N$2:$N$86,"Wed 14")</f>
        <v>26</v>
      </c>
      <c r="E2" s="4" t="n">
        <f aca="false">COUNTIFS(Components!$N$2:$N$86,"Wed 14",Components!$P$2:$P$86,"Done")</f>
        <v>0</v>
      </c>
      <c r="F2" s="6" t="n">
        <f aca="false">IF(D2=0,0,E2/D2)</f>
        <v>0</v>
      </c>
    </row>
    <row r="3" customFormat="false" ht="15" hidden="false" customHeight="false" outlineLevel="0" collapsed="false">
      <c r="A3" s="4" t="s">
        <v>901</v>
      </c>
      <c r="B3" s="4" t="s">
        <v>902</v>
      </c>
      <c r="C3" s="4" t="s">
        <v>903</v>
      </c>
      <c r="D3" s="4" t="n">
        <f aca="false">COUNTIFS(Components!$N$2:$N$86,"Thu 15")</f>
        <v>17</v>
      </c>
      <c r="E3" s="4" t="n">
        <f aca="false">COUNTIFS(Components!$N$2:$N$86,"Thu 15",Components!$P$2:$P$86,"Done")</f>
        <v>0</v>
      </c>
      <c r="F3" s="6" t="n">
        <f aca="false">IF(D3=0,0,E3/D3)</f>
        <v>0</v>
      </c>
    </row>
    <row r="4" customFormat="false" ht="15" hidden="false" customHeight="false" outlineLevel="0" collapsed="false">
      <c r="A4" s="4" t="s">
        <v>904</v>
      </c>
      <c r="B4" s="4" t="s">
        <v>905</v>
      </c>
      <c r="C4" s="4" t="s">
        <v>906</v>
      </c>
      <c r="D4" s="4" t="n">
        <f aca="false">COUNTIFS(Components!$N$2:$N$86,"Fri 16")</f>
        <v>15</v>
      </c>
      <c r="E4" s="4" t="n">
        <f aca="false">COUNTIFS(Components!$N$2:$N$86,"Fri 16",Components!$P$2:$P$86,"Done")</f>
        <v>0</v>
      </c>
      <c r="F4" s="6" t="n">
        <f aca="false">IF(D4=0,0,E4/D4)</f>
        <v>0</v>
      </c>
    </row>
    <row r="5" customFormat="false" ht="15" hidden="false" customHeight="false" outlineLevel="0" collapsed="false">
      <c r="A5" s="4" t="s">
        <v>907</v>
      </c>
      <c r="B5" s="4" t="s">
        <v>908</v>
      </c>
      <c r="C5" s="4" t="s">
        <v>909</v>
      </c>
      <c r="D5" s="4" t="n">
        <f aca="false">COUNTIFS(Components!$N$2:$N$86,"Sat 17")</f>
        <v>23</v>
      </c>
      <c r="E5" s="4" t="n">
        <f aca="false">COUNTIFS(Components!$N$2:$N$86,"Sat 17",Components!$P$2:$P$86,"Done")</f>
        <v>0</v>
      </c>
      <c r="F5" s="6" t="n">
        <f aca="false">IF(D5=0,0,E5/D5)</f>
        <v>0</v>
      </c>
    </row>
    <row r="6" customFormat="false" ht="15" hidden="false" customHeight="false" outlineLevel="0" collapsed="false">
      <c r="A6" s="4" t="s">
        <v>910</v>
      </c>
      <c r="B6" s="4" t="s">
        <v>911</v>
      </c>
      <c r="C6" s="4" t="s">
        <v>912</v>
      </c>
      <c r="D6" s="4" t="n">
        <f aca="false">COUNTIFS(Components!$N$2:$N$86,"Sun 18")</f>
        <v>4</v>
      </c>
      <c r="E6" s="4" t="n">
        <f aca="false">COUNTIFS(Components!$N$2:$N$86,"Sun 18",Components!$P$2:$P$86,"Done")</f>
        <v>0</v>
      </c>
      <c r="F6" s="6" t="n">
        <f aca="false">IF(D6=0,0,E6/D6)</f>
        <v>0</v>
      </c>
    </row>
  </sheetData>
  <autoFilter ref="A1:F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6" min="5" style="0" width="10"/>
  </cols>
  <sheetData>
    <row r="1" customFormat="false" ht="30" hidden="false" customHeight="true" outlineLevel="0" collapsed="false">
      <c r="A1" s="3" t="s">
        <v>16</v>
      </c>
      <c r="B1" s="3" t="s">
        <v>913</v>
      </c>
      <c r="C1" s="3" t="s">
        <v>914</v>
      </c>
      <c r="D1" s="3" t="s">
        <v>915</v>
      </c>
      <c r="E1" s="3" t="s">
        <v>916</v>
      </c>
      <c r="F1" s="3" t="s">
        <v>897</v>
      </c>
    </row>
    <row r="2" customFormat="false" ht="15" hidden="false" customHeight="false" outlineLevel="0" collapsed="false">
      <c r="A2" s="4" t="s">
        <v>32</v>
      </c>
      <c r="B2" s="4" t="n">
        <f aca="false">COUNTIFS(Components!$B$2:$B$86,"S0")</f>
        <v>5</v>
      </c>
      <c r="C2" s="4" t="n">
        <f aca="false">COUNTIFS(Components!$B$2:$B$86,"S0",Components!$P$2:$P$86,"Done")</f>
        <v>0</v>
      </c>
      <c r="D2" s="4" t="n">
        <f aca="false">COUNTIFS(Components!$B$2:$B$86,"S0",Components!$P$2:$P$86,"In progress")</f>
        <v>0</v>
      </c>
      <c r="E2" s="4" t="n">
        <f aca="false">COUNTIFS(Components!$B$2:$B$86,"S0",Components!$P$2:$P$86,"Blocked")</f>
        <v>0</v>
      </c>
      <c r="F2" s="6" t="n">
        <f aca="false">IF(B2=0,0,C2/B2)</f>
        <v>0</v>
      </c>
    </row>
    <row r="3" customFormat="false" ht="15" hidden="false" customHeight="false" outlineLevel="0" collapsed="false">
      <c r="A3" s="4" t="s">
        <v>78</v>
      </c>
      <c r="B3" s="4" t="n">
        <f aca="false">COUNTIFS(Components!$B$2:$B$86,"S1")</f>
        <v>14</v>
      </c>
      <c r="C3" s="4" t="n">
        <f aca="false">COUNTIFS(Components!$B$2:$B$86,"S1",Components!$P$2:$P$86,"Done")</f>
        <v>0</v>
      </c>
      <c r="D3" s="4" t="n">
        <f aca="false">COUNTIFS(Components!$B$2:$B$86,"S1",Components!$P$2:$P$86,"In progress")</f>
        <v>0</v>
      </c>
      <c r="E3" s="4" t="n">
        <f aca="false">COUNTIFS(Components!$B$2:$B$86,"S1",Components!$P$2:$P$86,"Blocked")</f>
        <v>0</v>
      </c>
      <c r="F3" s="6" t="n">
        <f aca="false">IF(B3=0,0,C3/B3)</f>
        <v>0</v>
      </c>
    </row>
    <row r="4" customFormat="false" ht="15" hidden="false" customHeight="false" outlineLevel="0" collapsed="false">
      <c r="A4" s="4" t="s">
        <v>175</v>
      </c>
      <c r="B4" s="4" t="n">
        <f aca="false">COUNTIFS(Components!$B$2:$B$86,"S2")</f>
        <v>5</v>
      </c>
      <c r="C4" s="4" t="n">
        <f aca="false">COUNTIFS(Components!$B$2:$B$86,"S2",Components!$P$2:$P$86,"Done")</f>
        <v>0</v>
      </c>
      <c r="D4" s="4" t="n">
        <f aca="false">COUNTIFS(Components!$B$2:$B$86,"S2",Components!$P$2:$P$86,"In progress")</f>
        <v>0</v>
      </c>
      <c r="E4" s="4" t="n">
        <f aca="false">COUNTIFS(Components!$B$2:$B$86,"S2",Components!$P$2:$P$86,"Blocked")</f>
        <v>0</v>
      </c>
      <c r="F4" s="6" t="n">
        <f aca="false">IF(B4=0,0,C4/B4)</f>
        <v>0</v>
      </c>
    </row>
    <row r="5" customFormat="false" ht="15" hidden="false" customHeight="false" outlineLevel="0" collapsed="false">
      <c r="A5" s="4" t="s">
        <v>204</v>
      </c>
      <c r="B5" s="4" t="n">
        <f aca="false">COUNTIFS(Components!$B$2:$B$86,"S3")</f>
        <v>5</v>
      </c>
      <c r="C5" s="4" t="n">
        <f aca="false">COUNTIFS(Components!$B$2:$B$86,"S3",Components!$P$2:$P$86,"Done")</f>
        <v>0</v>
      </c>
      <c r="D5" s="4" t="n">
        <f aca="false">COUNTIFS(Components!$B$2:$B$86,"S3",Components!$P$2:$P$86,"In progress")</f>
        <v>0</v>
      </c>
      <c r="E5" s="4" t="n">
        <f aca="false">COUNTIFS(Components!$B$2:$B$86,"S3",Components!$P$2:$P$86,"Blocked")</f>
        <v>0</v>
      </c>
      <c r="F5" s="6" t="n">
        <f aca="false">IF(B5=0,0,C5/B5)</f>
        <v>0</v>
      </c>
    </row>
    <row r="6" customFormat="false" ht="15" hidden="false" customHeight="false" outlineLevel="0" collapsed="false">
      <c r="A6" s="4" t="s">
        <v>236</v>
      </c>
      <c r="B6" s="4" t="n">
        <f aca="false">COUNTIFS(Components!$B$2:$B$86,"S4")</f>
        <v>2</v>
      </c>
      <c r="C6" s="4" t="n">
        <f aca="false">COUNTIFS(Components!$B$2:$B$86,"S4",Components!$P$2:$P$86,"Done")</f>
        <v>0</v>
      </c>
      <c r="D6" s="4" t="n">
        <f aca="false">COUNTIFS(Components!$B$2:$B$86,"S4",Components!$P$2:$P$86,"In progress")</f>
        <v>0</v>
      </c>
      <c r="E6" s="4" t="n">
        <f aca="false">COUNTIFS(Components!$B$2:$B$86,"S4",Components!$P$2:$P$86,"Blocked")</f>
        <v>0</v>
      </c>
      <c r="F6" s="6" t="n">
        <f aca="false">IF(B6=0,0,C6/B6)</f>
        <v>0</v>
      </c>
    </row>
    <row r="7" customFormat="false" ht="15" hidden="false" customHeight="false" outlineLevel="0" collapsed="false">
      <c r="A7" s="4" t="s">
        <v>250</v>
      </c>
      <c r="B7" s="4" t="n">
        <f aca="false">COUNTIFS(Components!$B$2:$B$86,"S5")</f>
        <v>4</v>
      </c>
      <c r="C7" s="4" t="n">
        <f aca="false">COUNTIFS(Components!$B$2:$B$86,"S5",Components!$P$2:$P$86,"Done")</f>
        <v>0</v>
      </c>
      <c r="D7" s="4" t="n">
        <f aca="false">COUNTIFS(Components!$B$2:$B$86,"S5",Components!$P$2:$P$86,"In progress")</f>
        <v>0</v>
      </c>
      <c r="E7" s="4" t="n">
        <f aca="false">COUNTIFS(Components!$B$2:$B$86,"S5",Components!$P$2:$P$86,"Blocked")</f>
        <v>0</v>
      </c>
      <c r="F7" s="6" t="n">
        <f aca="false">IF(B7=0,0,C7/B7)</f>
        <v>0</v>
      </c>
    </row>
    <row r="8" customFormat="false" ht="15" hidden="false" customHeight="false" outlineLevel="0" collapsed="false">
      <c r="A8" s="4" t="s">
        <v>276</v>
      </c>
      <c r="B8" s="4" t="n">
        <f aca="false">COUNTIFS(Components!$B$2:$B$86,"S6")</f>
        <v>4</v>
      </c>
      <c r="C8" s="4" t="n">
        <f aca="false">COUNTIFS(Components!$B$2:$B$86,"S6",Components!$P$2:$P$86,"Done")</f>
        <v>0</v>
      </c>
      <c r="D8" s="4" t="n">
        <f aca="false">COUNTIFS(Components!$B$2:$B$86,"S6",Components!$P$2:$P$86,"In progress")</f>
        <v>0</v>
      </c>
      <c r="E8" s="4" t="n">
        <f aca="false">COUNTIFS(Components!$B$2:$B$86,"S6",Components!$P$2:$P$86,"Blocked")</f>
        <v>0</v>
      </c>
      <c r="F8" s="6" t="n">
        <f aca="false">IF(B8=0,0,C8/B8)</f>
        <v>0</v>
      </c>
    </row>
    <row r="9" customFormat="false" ht="15" hidden="false" customHeight="false" outlineLevel="0" collapsed="false">
      <c r="A9" s="4" t="s">
        <v>304</v>
      </c>
      <c r="B9" s="4" t="n">
        <f aca="false">COUNTIFS(Components!$B$2:$B$86,"S7")</f>
        <v>4</v>
      </c>
      <c r="C9" s="4" t="n">
        <f aca="false">COUNTIFS(Components!$B$2:$B$86,"S7",Components!$P$2:$P$86,"Done")</f>
        <v>0</v>
      </c>
      <c r="D9" s="4" t="n">
        <f aca="false">COUNTIFS(Components!$B$2:$B$86,"S7",Components!$P$2:$P$86,"In progress")</f>
        <v>0</v>
      </c>
      <c r="E9" s="4" t="n">
        <f aca="false">COUNTIFS(Components!$B$2:$B$86,"S7",Components!$P$2:$P$86,"Blocked")</f>
        <v>0</v>
      </c>
      <c r="F9" s="6" t="n">
        <f aca="false">IF(B9=0,0,C9/B9)</f>
        <v>0</v>
      </c>
    </row>
    <row r="10" customFormat="false" ht="15" hidden="false" customHeight="false" outlineLevel="0" collapsed="false">
      <c r="A10" s="4" t="s">
        <v>339</v>
      </c>
      <c r="B10" s="4" t="n">
        <f aca="false">COUNTIFS(Components!$B$2:$B$86,"S8")</f>
        <v>3</v>
      </c>
      <c r="C10" s="4" t="n">
        <f aca="false">COUNTIFS(Components!$B$2:$B$86,"S8",Components!$P$2:$P$86,"Done")</f>
        <v>0</v>
      </c>
      <c r="D10" s="4" t="n">
        <f aca="false">COUNTIFS(Components!$B$2:$B$86,"S8",Components!$P$2:$P$86,"In progress")</f>
        <v>0</v>
      </c>
      <c r="E10" s="4" t="n">
        <f aca="false">COUNTIFS(Components!$B$2:$B$86,"S8",Components!$P$2:$P$86,"Blocked")</f>
        <v>0</v>
      </c>
      <c r="F10" s="6" t="n">
        <f aca="false">IF(B10=0,0,C10/B10)</f>
        <v>0</v>
      </c>
    </row>
    <row r="11" customFormat="false" ht="15" hidden="false" customHeight="false" outlineLevel="0" collapsed="false">
      <c r="A11" s="4" t="s">
        <v>361</v>
      </c>
      <c r="B11" s="4" t="n">
        <f aca="false">COUNTIFS(Components!$B$2:$B$86,"S9")</f>
        <v>2</v>
      </c>
      <c r="C11" s="4" t="n">
        <f aca="false">COUNTIFS(Components!$B$2:$B$86,"S9",Components!$P$2:$P$86,"Done")</f>
        <v>0</v>
      </c>
      <c r="D11" s="4" t="n">
        <f aca="false">COUNTIFS(Components!$B$2:$B$86,"S9",Components!$P$2:$P$86,"In progress")</f>
        <v>0</v>
      </c>
      <c r="E11" s="4" t="n">
        <f aca="false">COUNTIFS(Components!$B$2:$B$86,"S9",Components!$P$2:$P$86,"Blocked")</f>
        <v>0</v>
      </c>
      <c r="F11" s="6" t="n">
        <f aca="false">IF(B11=0,0,C11/B11)</f>
        <v>0</v>
      </c>
    </row>
    <row r="12" customFormat="false" ht="15" hidden="false" customHeight="false" outlineLevel="0" collapsed="false">
      <c r="A12" s="4" t="s">
        <v>379</v>
      </c>
      <c r="B12" s="4" t="n">
        <f aca="false">COUNTIFS(Components!$B$2:$B$86,"S10")</f>
        <v>5</v>
      </c>
      <c r="C12" s="4" t="n">
        <f aca="false">COUNTIFS(Components!$B$2:$B$86,"S10",Components!$P$2:$P$86,"Done")</f>
        <v>0</v>
      </c>
      <c r="D12" s="4" t="n">
        <f aca="false">COUNTIFS(Components!$B$2:$B$86,"S10",Components!$P$2:$P$86,"In progress")</f>
        <v>0</v>
      </c>
      <c r="E12" s="4" t="n">
        <f aca="false">COUNTIFS(Components!$B$2:$B$86,"S10",Components!$P$2:$P$86,"Blocked")</f>
        <v>0</v>
      </c>
      <c r="F12" s="6" t="n">
        <f aca="false">IF(B12=0,0,C12/B12)</f>
        <v>0</v>
      </c>
    </row>
    <row r="13" customFormat="false" ht="15" hidden="false" customHeight="false" outlineLevel="0" collapsed="false">
      <c r="A13" s="4" t="s">
        <v>409</v>
      </c>
      <c r="B13" s="4" t="n">
        <f aca="false">COUNTIFS(Components!$B$2:$B$86,"S11")</f>
        <v>5</v>
      </c>
      <c r="C13" s="4" t="n">
        <f aca="false">COUNTIFS(Components!$B$2:$B$86,"S11",Components!$P$2:$P$86,"Done")</f>
        <v>0</v>
      </c>
      <c r="D13" s="4" t="n">
        <f aca="false">COUNTIFS(Components!$B$2:$B$86,"S11",Components!$P$2:$P$86,"In progress")</f>
        <v>0</v>
      </c>
      <c r="E13" s="4" t="n">
        <f aca="false">COUNTIFS(Components!$B$2:$B$86,"S11",Components!$P$2:$P$86,"Blocked")</f>
        <v>0</v>
      </c>
      <c r="F13" s="6" t="n">
        <f aca="false">IF(B13=0,0,C13/B13)</f>
        <v>0</v>
      </c>
    </row>
    <row r="14" customFormat="false" ht="15" hidden="false" customHeight="false" outlineLevel="0" collapsed="false">
      <c r="A14" s="4" t="s">
        <v>444</v>
      </c>
      <c r="B14" s="4" t="n">
        <f aca="false">COUNTIFS(Components!$B$2:$B$86,"S12")</f>
        <v>2</v>
      </c>
      <c r="C14" s="4" t="n">
        <f aca="false">COUNTIFS(Components!$B$2:$B$86,"S12",Components!$P$2:$P$86,"Done")</f>
        <v>0</v>
      </c>
      <c r="D14" s="4" t="n">
        <f aca="false">COUNTIFS(Components!$B$2:$B$86,"S12",Components!$P$2:$P$86,"In progress")</f>
        <v>0</v>
      </c>
      <c r="E14" s="4" t="n">
        <f aca="false">COUNTIFS(Components!$B$2:$B$86,"S12",Components!$P$2:$P$86,"Blocked")</f>
        <v>0</v>
      </c>
      <c r="F14" s="6" t="n">
        <f aca="false">IF(B14=0,0,C14/B14)</f>
        <v>0</v>
      </c>
    </row>
    <row r="15" customFormat="false" ht="15" hidden="false" customHeight="false" outlineLevel="0" collapsed="false">
      <c r="A15" s="4" t="s">
        <v>460</v>
      </c>
      <c r="B15" s="4" t="n">
        <f aca="false">COUNTIFS(Components!$B$2:$B$86,"S13")</f>
        <v>2</v>
      </c>
      <c r="C15" s="4" t="n">
        <f aca="false">COUNTIFS(Components!$B$2:$B$86,"S13",Components!$P$2:$P$86,"Done")</f>
        <v>0</v>
      </c>
      <c r="D15" s="4" t="n">
        <f aca="false">COUNTIFS(Components!$B$2:$B$86,"S13",Components!$P$2:$P$86,"In progress")</f>
        <v>0</v>
      </c>
      <c r="E15" s="4" t="n">
        <f aca="false">COUNTIFS(Components!$B$2:$B$86,"S13",Components!$P$2:$P$86,"Blocked")</f>
        <v>0</v>
      </c>
      <c r="F15" s="6" t="n">
        <f aca="false">IF(B15=0,0,C15/B15)</f>
        <v>0</v>
      </c>
    </row>
    <row r="16" customFormat="false" ht="15" hidden="false" customHeight="false" outlineLevel="0" collapsed="false">
      <c r="A16" s="4" t="s">
        <v>476</v>
      </c>
      <c r="B16" s="4" t="n">
        <f aca="false">COUNTIFS(Components!$B$2:$B$86,"S14")</f>
        <v>5</v>
      </c>
      <c r="C16" s="4" t="n">
        <f aca="false">COUNTIFS(Components!$B$2:$B$86,"S14",Components!$P$2:$P$86,"Done")</f>
        <v>0</v>
      </c>
      <c r="D16" s="4" t="n">
        <f aca="false">COUNTIFS(Components!$B$2:$B$86,"S14",Components!$P$2:$P$86,"In progress")</f>
        <v>0</v>
      </c>
      <c r="E16" s="4" t="n">
        <f aca="false">COUNTIFS(Components!$B$2:$B$86,"S14",Components!$P$2:$P$86,"Blocked")</f>
        <v>0</v>
      </c>
      <c r="F16" s="6" t="n">
        <f aca="false">IF(B16=0,0,C16/B16)</f>
        <v>0</v>
      </c>
    </row>
    <row r="17" customFormat="false" ht="15" hidden="false" customHeight="false" outlineLevel="0" collapsed="false">
      <c r="A17" s="4" t="s">
        <v>512</v>
      </c>
      <c r="B17" s="4" t="n">
        <f aca="false">COUNTIFS(Components!$B$2:$B$86,"S15")</f>
        <v>3</v>
      </c>
      <c r="C17" s="4" t="n">
        <f aca="false">COUNTIFS(Components!$B$2:$B$86,"S15",Components!$P$2:$P$86,"Done")</f>
        <v>0</v>
      </c>
      <c r="D17" s="4" t="n">
        <f aca="false">COUNTIFS(Components!$B$2:$B$86,"S15",Components!$P$2:$P$86,"In progress")</f>
        <v>0</v>
      </c>
      <c r="E17" s="4" t="n">
        <f aca="false">COUNTIFS(Components!$B$2:$B$86,"S15",Components!$P$2:$P$86,"Blocked")</f>
        <v>0</v>
      </c>
      <c r="F17" s="6" t="n">
        <f aca="false">IF(B17=0,0,C17/B17)</f>
        <v>0</v>
      </c>
    </row>
    <row r="18" customFormat="false" ht="15" hidden="false" customHeight="false" outlineLevel="0" collapsed="false">
      <c r="A18" s="4" t="s">
        <v>530</v>
      </c>
      <c r="B18" s="4" t="n">
        <f aca="false">COUNTIFS(Components!$B$2:$B$86,"S16")</f>
        <v>10</v>
      </c>
      <c r="C18" s="4" t="n">
        <f aca="false">COUNTIFS(Components!$B$2:$B$86,"S16",Components!$P$2:$P$86,"Done")</f>
        <v>0</v>
      </c>
      <c r="D18" s="4" t="n">
        <f aca="false">COUNTIFS(Components!$B$2:$B$86,"S16",Components!$P$2:$P$86,"In progress")</f>
        <v>0</v>
      </c>
      <c r="E18" s="4" t="n">
        <f aca="false">COUNTIFS(Components!$B$2:$B$86,"S16",Components!$P$2:$P$86,"Blocked")</f>
        <v>0</v>
      </c>
      <c r="F18" s="6" t="n">
        <f aca="false">IF(B18=0,0,C18/B18)</f>
        <v>0</v>
      </c>
    </row>
    <row r="19" customFormat="false" ht="15" hidden="false" customHeight="false" outlineLevel="0" collapsed="false">
      <c r="A19" s="4" t="s">
        <v>593</v>
      </c>
      <c r="B19" s="4" t="n">
        <f aca="false">COUNTIFS(Components!$B$2:$B$86,"S17")</f>
        <v>1</v>
      </c>
      <c r="C19" s="4" t="n">
        <f aca="false">COUNTIFS(Components!$B$2:$B$86,"S17",Components!$P$2:$P$86,"Done")</f>
        <v>0</v>
      </c>
      <c r="D19" s="4" t="n">
        <f aca="false">COUNTIFS(Components!$B$2:$B$86,"S17",Components!$P$2:$P$86,"In progress")</f>
        <v>0</v>
      </c>
      <c r="E19" s="4" t="n">
        <f aca="false">COUNTIFS(Components!$B$2:$B$86,"S17",Components!$P$2:$P$86,"Blocked")</f>
        <v>0</v>
      </c>
      <c r="F19" s="6" t="n">
        <f aca="false">IF(B19=0,0,C19/B19)</f>
        <v>0</v>
      </c>
    </row>
    <row r="20" customFormat="false" ht="15" hidden="false" customHeight="false" outlineLevel="0" collapsed="false">
      <c r="A20" s="4" t="s">
        <v>603</v>
      </c>
      <c r="B20" s="4" t="n">
        <f aca="false">COUNTIFS(Components!$B$2:$B$86,"S18")</f>
        <v>2</v>
      </c>
      <c r="C20" s="4" t="n">
        <f aca="false">COUNTIFS(Components!$B$2:$B$86,"S18",Components!$P$2:$P$86,"Done")</f>
        <v>0</v>
      </c>
      <c r="D20" s="4" t="n">
        <f aca="false">COUNTIFS(Components!$B$2:$B$86,"S18",Components!$P$2:$P$86,"In progress")</f>
        <v>0</v>
      </c>
      <c r="E20" s="4" t="n">
        <f aca="false">COUNTIFS(Components!$B$2:$B$86,"S18",Components!$P$2:$P$86,"Blocked")</f>
        <v>0</v>
      </c>
      <c r="F20" s="6" t="n">
        <f aca="false">IF(B20=0,0,C20/B20)</f>
        <v>0</v>
      </c>
    </row>
    <row r="21" customFormat="false" ht="15" hidden="false" customHeight="false" outlineLevel="0" collapsed="false">
      <c r="A21" s="4" t="s">
        <v>617</v>
      </c>
      <c r="B21" s="4" t="n">
        <f aca="false">COUNTIFS(Components!$B$2:$B$86,"S19")</f>
        <v>2</v>
      </c>
      <c r="C21" s="4" t="n">
        <f aca="false">COUNTIFS(Components!$B$2:$B$86,"S19",Components!$P$2:$P$86,"Done")</f>
        <v>0</v>
      </c>
      <c r="D21" s="4" t="n">
        <f aca="false">COUNTIFS(Components!$B$2:$B$86,"S19",Components!$P$2:$P$86,"In progress")</f>
        <v>0</v>
      </c>
      <c r="E21" s="4" t="n">
        <f aca="false">COUNTIFS(Components!$B$2:$B$86,"S19",Components!$P$2:$P$86,"Blocked")</f>
        <v>0</v>
      </c>
      <c r="F21" s="6" t="n">
        <f aca="false">IF(B21=0,0,C21/B21)</f>
        <v>0</v>
      </c>
    </row>
    <row r="22" customFormat="false" ht="15" hidden="false" customHeight="false" outlineLevel="0" collapsed="false">
      <c r="A22" s="7" t="s">
        <v>917</v>
      </c>
      <c r="B22" s="7" t="n">
        <f aca="false">SUM(B2:B21)</f>
        <v>85</v>
      </c>
      <c r="C22" s="7" t="n">
        <f aca="false">SUM(C2:C21)</f>
        <v>0</v>
      </c>
      <c r="D22" s="7" t="n">
        <f aca="false">SUM(D2:D21)</f>
        <v>0</v>
      </c>
      <c r="E22" s="7" t="n">
        <f aca="false">SUM(E2:E21)</f>
        <v>0</v>
      </c>
      <c r="F22" s="8" t="n">
        <f aca="false">IF(B22=0,0,C22/B22)</f>
        <v>0</v>
      </c>
    </row>
    <row r="24" customFormat="false" ht="15" hidden="false" customHeight="false" outlineLevel="0" collapsed="false">
      <c r="A24" s="9" t="s">
        <v>918</v>
      </c>
      <c r="B24" s="10" t="str">
        <f aca="false">COUNTIFS(Components!$M$2:$M$86,"P0",Components!$P$2:$P$86,"Done")&amp;" / "&amp;COUNTIFS(Components!$M$2:$M$86,"P0")</f>
        <v>0 / 48</v>
      </c>
    </row>
  </sheetData>
  <autoFilter ref="A1:F2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2026-10-14T03:29:01Z</dcterms:created>
  <dc:creator>openpyxl</dc:creator>
  <dc:description/>
  <dc:language>en-US</dc:language>
  <cp:lastModifiedBy/>
  <dcterms:modified xsi:type="dcterms:W3CDTF">2026-10-14T03:29:01Z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